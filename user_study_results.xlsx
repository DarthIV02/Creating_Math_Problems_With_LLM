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jiangrong/Desktop/25W/Human AI interaction/"/>
    </mc:Choice>
  </mc:AlternateContent>
  <xr:revisionPtr revIDLastSave="0" documentId="13_ncr:1_{414608F1-63B3-D247-B0C9-7409651291DC}" xr6:coauthVersionLast="47" xr6:coauthVersionMax="47" xr10:uidLastSave="{00000000-0000-0000-0000-000000000000}"/>
  <bookViews>
    <workbookView xWindow="0" yWindow="660" windowWidth="29400" windowHeight="18460" activeTab="2" xr2:uid="{00000000-000D-0000-FFFF-FFFF00000000}"/>
  </bookViews>
  <sheets>
    <sheet name="Original" sheetId="1" r:id="rId1"/>
    <sheet name="Cleaned" sheetId="2" r:id="rId2"/>
    <sheet name="Grade identification" sheetId="7" r:id="rId3"/>
    <sheet name="AI identification" sheetId="6" r:id="rId4"/>
  </sheets>
  <definedNames>
    <definedName name="Z_285BB586_CC68_4C1C_BF56_4D1DD292C22B_.wvu.FilterData" localSheetId="3" hidden="1">'AI identification'!$A$1:$B$3</definedName>
  </definedNames>
  <calcPr calcId="191029"/>
  <customWorkbookViews>
    <customWorkbookView name="分组依据：转换前的原始数据 (示例)" guid="{285BB586-CC68-4C1C-BF56-4D1DD292C22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7" l="1"/>
  <c r="E3" i="7" s="1"/>
  <c r="D4" i="7"/>
  <c r="E4" i="7" s="1"/>
  <c r="E5" i="7"/>
  <c r="E6" i="7"/>
  <c r="E7" i="7"/>
  <c r="E8" i="7"/>
  <c r="E9" i="7"/>
  <c r="E10" i="7"/>
  <c r="E11" i="7"/>
  <c r="E12" i="7"/>
  <c r="E13" i="7"/>
  <c r="E2" i="7"/>
</calcChain>
</file>

<file path=xl/sharedStrings.xml><?xml version="1.0" encoding="utf-8"?>
<sst xmlns="http://schemas.openxmlformats.org/spreadsheetml/2006/main" count="2264" uniqueCount="258">
  <si>
    <t>Participant</t>
  </si>
  <si>
    <t>Unterrichtserfahrung (in Jahren)</t>
  </si>
  <si>
    <t>Welche Klassenstufe(n) unterrichten Sie derzeit?</t>
  </si>
  <si>
    <t>P1_Geeignete_Klassenstufe</t>
  </si>
  <si>
    <t>P1_Lehrplanrelevanz</t>
  </si>
  <si>
    <t>P1_Ablenkungen</t>
  </si>
  <si>
    <t>P1_Schwierigkeit</t>
  </si>
  <si>
    <t>P1_Plausibel</t>
  </si>
  <si>
    <t>P1_Qualitaet</t>
  </si>
  <si>
    <t>P1_Kommentar</t>
  </si>
  <si>
    <t>P2_Geeignete_Klassenstufe</t>
  </si>
  <si>
    <t>P2_Lehrplanrelevanz</t>
  </si>
  <si>
    <t>P2_Ablenkungen</t>
  </si>
  <si>
    <t>P2_Schwierigkeit</t>
  </si>
  <si>
    <t>P2_Plausibel</t>
  </si>
  <si>
    <t>P2_Qualitaet</t>
  </si>
  <si>
    <t>P2_Kommentar</t>
  </si>
  <si>
    <t>P3_Geeignete_Klassenstufe</t>
  </si>
  <si>
    <t>P3_Lehrplanrelevanz</t>
  </si>
  <si>
    <t>P3_Ablenkungen</t>
  </si>
  <si>
    <t>P3_Schwierigkeit</t>
  </si>
  <si>
    <t>P3_Plausibel</t>
  </si>
  <si>
    <t>P3_Qualitaet</t>
  </si>
  <si>
    <t>P3_Kommentar</t>
  </si>
  <si>
    <t>P4_Geeignete_Klassenstufe</t>
  </si>
  <si>
    <t>P4_Lehrplanrelevanz</t>
  </si>
  <si>
    <t>P4_Ablenkungen</t>
  </si>
  <si>
    <t>P4_Schwierigkeit</t>
  </si>
  <si>
    <t>P4_Plausibel</t>
  </si>
  <si>
    <t>P4_Qualitaet</t>
  </si>
  <si>
    <t>P4_Kommentar</t>
  </si>
  <si>
    <t>P5_Geeignete_Klassenstufe</t>
  </si>
  <si>
    <t>P5_Lehrplanrelevanz</t>
  </si>
  <si>
    <t>P5_Ablenkungen</t>
  </si>
  <si>
    <t>P5_Schwierigkeit</t>
  </si>
  <si>
    <t>P5_Plausibel</t>
  </si>
  <si>
    <t>P5_Qualitaet</t>
  </si>
  <si>
    <t>P5_Kommentar</t>
  </si>
  <si>
    <t>P6_Geeignete_Klassenstufe</t>
  </si>
  <si>
    <t>P6_Lehrplanrelevanz</t>
  </si>
  <si>
    <t>P6_Ablenkungen</t>
  </si>
  <si>
    <t>P6_Schwierigkeit</t>
  </si>
  <si>
    <t>P6_Plausibel</t>
  </si>
  <si>
    <t>P6_Qualitaet</t>
  </si>
  <si>
    <t>P6_Kommentar</t>
  </si>
  <si>
    <t>P7_Geeignete_Klassenstufe</t>
  </si>
  <si>
    <t>P7_Lehrplanrelevanz</t>
  </si>
  <si>
    <t>P7_Ablenkungen</t>
  </si>
  <si>
    <t>P7_Schwierigkeit</t>
  </si>
  <si>
    <t>P7_Plausibel</t>
  </si>
  <si>
    <t>P7_Qualitaet</t>
  </si>
  <si>
    <t>P7_Kommentar</t>
  </si>
  <si>
    <t>P8_Geeignete_Klassenstufe</t>
  </si>
  <si>
    <t>P8_Lehrplanrelevanz</t>
  </si>
  <si>
    <t>P8_Ablenkungen</t>
  </si>
  <si>
    <t>P8_Schwierigkeit</t>
  </si>
  <si>
    <t>P8_Plausibel</t>
  </si>
  <si>
    <t>P8_Qualitaet</t>
  </si>
  <si>
    <t>P8_Kommentar</t>
  </si>
  <si>
    <t>P9_Geeignete_Klassenstufe</t>
  </si>
  <si>
    <t>P9_Lehrplanrelevanz</t>
  </si>
  <si>
    <t>P9_Ablenkungen</t>
  </si>
  <si>
    <t>P9_Schwierigkeit</t>
  </si>
  <si>
    <t>P9_Plausibel</t>
  </si>
  <si>
    <t>P9_Qualitaet</t>
  </si>
  <si>
    <t>P9_Kommentar</t>
  </si>
  <si>
    <t>P10_Geeignete_Klassenstufe</t>
  </si>
  <si>
    <t>P10_Lehrplanrelevanz</t>
  </si>
  <si>
    <t>P10_Ablenkungen</t>
  </si>
  <si>
    <t>P10_Schwierigkeit</t>
  </si>
  <si>
    <t>P10_Plausibel</t>
  </si>
  <si>
    <t>P10_Qualitaet</t>
  </si>
  <si>
    <t>P10_Kommentar</t>
  </si>
  <si>
    <t>P11_Geeignete_Klassenstufe</t>
  </si>
  <si>
    <t>P11_Lehrplanrelevanz</t>
  </si>
  <si>
    <t>P11_Ablenkungen</t>
  </si>
  <si>
    <t>P11_Schwierigkeit</t>
  </si>
  <si>
    <t>P11_Plausibel</t>
  </si>
  <si>
    <t>P11_Qualitaet</t>
  </si>
  <si>
    <t>P11_Kommentar</t>
  </si>
  <si>
    <t>P12_Geeignete_Klassenstufe</t>
  </si>
  <si>
    <t>P12_Lehrplanrelevanz</t>
  </si>
  <si>
    <t>P12_Ablenkungen</t>
  </si>
  <si>
    <t>P12_Schwierigkeit</t>
  </si>
  <si>
    <t>P12_Plausibel</t>
  </si>
  <si>
    <t>P12_Qualitaet</t>
  </si>
  <si>
    <t>P12_Kommentar</t>
  </si>
  <si>
    <t>Participant 1</t>
  </si>
  <si>
    <t>11+ Jahre oder mehr</t>
  </si>
  <si>
    <t>Andere</t>
  </si>
  <si>
    <t>Keine: zu leicht</t>
  </si>
  <si>
    <t>Ja</t>
  </si>
  <si>
    <t>Nein (leicht / mittel)</t>
  </si>
  <si>
    <t>Leicht (direkte Anwendung)</t>
  </si>
  <si>
    <t>Evtl.unklar was der Begriff mehr bedeutet</t>
  </si>
  <si>
    <t>Klassenstufe 3</t>
  </si>
  <si>
    <t>Der Begriff bekommt wäre durch dazu zu ergänzen</t>
  </si>
  <si>
    <t>Beide</t>
  </si>
  <si>
    <t>Ja (schwierig)</t>
  </si>
  <si>
    <t>Mittel (erfordert Planung oder die Auswahl geeigneter Rechenoperationen)</t>
  </si>
  <si>
    <t>Mehrfach malnehmen könnte Probleme bedeuten</t>
  </si>
  <si>
    <t>Schwierig (erfordert flexibles Denken oder mehrschrittige, komplexe Planung)</t>
  </si>
  <si>
    <t>Operationen evtl.unklar</t>
  </si>
  <si>
    <t>Mehrfach Wechsel der Opetationen</t>
  </si>
  <si>
    <t>Keine: zu schwierig</t>
  </si>
  <si>
    <t>Der Behriff Durchschnitt muss vorher geklärt sein</t>
  </si>
  <si>
    <t>No (Easy/Medium)</t>
  </si>
  <si>
    <t>Insgesamt muss klar sein</t>
  </si>
  <si>
    <t>Klassenstufe 4</t>
  </si>
  <si>
    <t>Untetschiedliche Einheit beachten!</t>
  </si>
  <si>
    <t>Plus umd minus im Wechsel..</t>
  </si>
  <si>
    <t>Zu je klären</t>
  </si>
  <si>
    <t>Participant 2</t>
  </si>
  <si>
    <t>3-5 Jahre</t>
  </si>
  <si>
    <t>Mögliche Verwirrung dabei, wer das Geld für Popcorn ausgibt, Kino oder Besucher.</t>
  </si>
  <si>
    <t>Participant 3</t>
  </si>
  <si>
    <t>wenig Kontext, "Geschichte" fehlt</t>
  </si>
  <si>
    <t>Nein</t>
  </si>
  <si>
    <t>für 3. und 4. Klasse aufgrund des Zahlenraums zu leicht</t>
  </si>
  <si>
    <t>Kinder kennen in der Grundschule den Begriff "Durchschnitt" nicht und wissen nicht wie er berechnet wird, obwohl sie mathematisch gesehen in der Lage wären, die Rechenoperationen durchzuführen</t>
  </si>
  <si>
    <t>Verständlichkeit der Sprache, führt zu Verwirrung --&gt; komische Formulierung in den ersten beiden Sätzen (Zusammenhang?)</t>
  </si>
  <si>
    <t>Participant 4</t>
  </si>
  <si>
    <t>6-10 Jahre</t>
  </si>
  <si>
    <t xml:space="preserve">Aufgabe wenig komplex, warum Vergleich der Früchte? Textaufgabe in dieser Form unnötig, da keine relevanten Lösungsschritte gebraucht werden. </t>
  </si>
  <si>
    <t xml:space="preserve">Niveau 2. Klasse. </t>
  </si>
  <si>
    <t xml:space="preserve">Warum soll man das berechnen? Mehr Kontext nötig. </t>
  </si>
  <si>
    <t xml:space="preserve">Was für Steine und warum? Vielleicht lieber Tiere und Nüsse für den Winter oder so. Bei Astronauten klingt das unrealistisch. </t>
  </si>
  <si>
    <t>Nicht sicher</t>
  </si>
  <si>
    <t xml:space="preserve">Warum 2 Zahlungen? </t>
  </si>
  <si>
    <t xml:space="preserve">Eintrittskarten sind weder Kosten für Popcorn noch für Getränke. Es müsste 'das Kino nimmt ein' heißen </t>
  </si>
  <si>
    <t>Participant 5</t>
  </si>
  <si>
    <t xml:space="preserve">Blöde Formulierung. Was bedeutet "Sie sammelt...mehr"? Schlechtes Deutsch. Zudem: Warum sammelt eine Astronautin Steine? </t>
  </si>
  <si>
    <t>Schlechte Formulierung: Er ließ den Drachen in die Luft. Da fehlt ein Zusatzverb (z.B. steigen, fliegen, kotzen ; )</t>
  </si>
  <si>
    <t>Schlechte Formulierung: Eine Klasse - aber dann: sie bezahlen; passt nicht zusammen. Es sollte auch irgendwie drin stehen, für was das Geld verwendet wird. Bessere Frage z.B. Wie viele Euro bleiben für die Ausflüge übrig?</t>
  </si>
  <si>
    <t>Wieder sehr unklare Formulierung. Wer gibt denn das Geld für Popcorn aus? Das Kino? Sowas ist Kindern nicht klar. Sehr schlechte Aufgabe</t>
  </si>
  <si>
    <t>Schlechte Formulierung: 2. und 3. KlasseN müsste es heißen. Es werden nicht nur zwei sein. "erreichten" am Ende ist sprachlich auch schlecht.</t>
  </si>
  <si>
    <t>Schlechte Formulierung der Rechenfrage! Wie viele Äpfel in Gramm- Quatsch</t>
  </si>
  <si>
    <t>Participant 6</t>
  </si>
  <si>
    <t>Warum Vergleich der Obstsorten? „Gramm“ statt 150g - Angabe der Maßeinheit. Ggf. die Fragestellung, besser: „Wie viel g schwerer ist die Birne?“</t>
  </si>
  <si>
    <t>ZR 100, in 3. Klasse nur noch wiederholend, aber Fragestellung kompliziert / zu viele Angaben, Verbesserung: Finn hat 43 bunte Sticker und bekommt XY dazu. Wie viele hat er jetzt? -&gt; gerade für DaZ-Schüler:innen ist Ausgangsaufgabe womöglich verwirrend, nur kurzer Anwendungsbereich, da schneller Einstieg in ZR 1000</t>
  </si>
  <si>
    <t>Warum Astronautin? Wo werden Steine gesammelt? Gut: Komplexität -&gt; zuerst Addition, dann Platzhalteraufgabe</t>
  </si>
  <si>
    <t>Sprachliche Komplexität, Angabe der Maßeinheit, Durchschnittsberechnungen eher unüblich</t>
  </si>
  <si>
    <t>Fragestellung verwirrend: Es bleibt kein Geld übrig, sondern es fehlt noch Geld bis zur vollständigen Zahlung</t>
  </si>
  <si>
    <t>Hohe sprachliche Komplexität, viele wichtige Angaben, Fragestellung ist nicht lebensnah</t>
  </si>
  <si>
    <t>Fragestellung, man „erreicht“ keine Urkunden</t>
  </si>
  <si>
    <t>Participant 7</t>
  </si>
  <si>
    <t>Klassenstufe 3, Andere</t>
  </si>
  <si>
    <t xml:space="preserve">Der Wortschatz ist einfach und die Formulierung kurz, was va für Kinder mit DAZ hilfreich ist.
Das Thema ist für Kinder interessant, wenn sie handlungsorientiert selber wiegen dürfen, wenn es andere Gegenstände aus der spielerischen Lebenswelt der Kinder wären oder wenn der Aufgabe mehr Kontext gegeben wäre. (Warum möchte ich das Gewicht vergleichen?)
Es ist eine "verkleidete Textaufgabe". Sie gibt Übungsaufgaben zum Rechnen (im neuen Zahlenraum) beispielhaft inhaltliche Bedeutung. Es ist aber keine Aufgabe, die (komplexeres) problemlösendes Denken fördert. </t>
  </si>
  <si>
    <t>Es ist eine einfache Additionsaufgabe für die Jahrgangsstufe 2 im Zahlenraum 100. Aufkleber sind für Kinder thematisch spannend.</t>
  </si>
  <si>
    <t>Der zweite Teilschritt könnte insbesondere für die dritte Klasse zu schwer sein, da er über das kleine Einmaleins hinaus geht. Die Kinder müssen halbschriftlich multiplizieren können oder die Zahlen in der Aufgabe werden kleiner gewählt. Alternativ wäre eine gute didaktische Aufbereitung Voraussetzung für erfolgreiches und motivierendes Lösen, also Differenzierung zu Strategien wie Skizzen oder das Angebot von Taschenrechnern. Dabei wäre das problemlösende Denken im Vordergrund.</t>
  </si>
  <si>
    <t xml:space="preserve">Die Komplexität mit dem Rechnen in zwei Schritten ist für die dritte Klasse passend, aber über die Informationen könnten sich Kinder nicht-mathematische und verwirrende bzw. ablenkende Fragen stellen: Warum sammelt Lena Steine? Hat das Steinesammeln etwas damit zu tun, das sie Astronautin ist? </t>
  </si>
  <si>
    <t>Das Thema passt für Grundschulen mit einer Bibliothek gut und die Aufgabe ließe sich dann für einen emotionalen Bezug individueller anpassen: z.B. "Unsere Klasse 3a kauft von ihrem Verdienst nach dem Kuchenverkauf 30 spannende Bücher für die Schulbücherei."</t>
  </si>
  <si>
    <t>Die Kinder müssen wissen, was das Wort "Durchschnitt" bedeutet und dazu eine Vorstellung entwickelt haben. (bestenfalls handlungsorientiert über das EIS-Prinzip, also vor dieser Aufgabe oder mit einer Aufgabe, die sich habdlungsorientiert erarbeiten lässt)
Die Kinder müssen entweder wissen, wie man einen Durchschnitt berechnet oder sie üben sich mit Skizzen in problemlösendem Denken. Letzteres würde sich bei der Aufgabe anbieten, da der Zahlenraum aus der 3. Klasse bekannt ist, die Komplexität mit der Durchschnittsberechnung würde ich aber eher der 4. Klasse zuordnen.</t>
  </si>
  <si>
    <t>Die Kinder brauchen Vorwissen (Vorstellung) zum Unfüllen von einem Fass und sie müssen in gleiche Einheiten unrechnen können. Es ist eine Aufgabe zum Einheitenrechnen und das kann für manche Kinder ohne passender Differenzierung schwer sein. Zum problemlösendem Denken wäre sie zu leicht.</t>
  </si>
  <si>
    <t>Die Formulierung ist verwirrend. Kauft das Kino vom Umsatz durch die Kinokarten Popcorn und Getränke?</t>
  </si>
  <si>
    <t>Mehr Kontext wäre für Kinder ansprechender: z.B. Äpfel für den Geburtstagskuchen</t>
  </si>
  <si>
    <t>Participant 8</t>
  </si>
  <si>
    <t>Sehe keine Probleme</t>
  </si>
  <si>
    <t xml:space="preserve">Sammelt unf findet mehr = verwirrend
Besser: … hat schon 387 Steine gesammelt. Heute findet/ sammelt  sie noch 215 Steine. </t>
  </si>
  <si>
    <t>keine Schwierigkeit</t>
  </si>
  <si>
    <t>Durchschnittsberechnung ist nicht im Lehrplan der Grundschule, kann aber gemacht werden, wenn der Begriff + dazugehörige Rechenoperationen geklärt sind</t>
  </si>
  <si>
    <t>keine</t>
  </si>
  <si>
    <t>Keine</t>
  </si>
  <si>
    <t xml:space="preserve">Das Wort „davon“ deutet in diesem Kontext an, dass im Eintrittspreis Popcorn + Getränk eingeschlossen ist, also inclusive. Dies passt nicht zur Realität, welche die Kinder kennen. </t>
  </si>
  <si>
    <t>Participant 9</t>
  </si>
  <si>
    <t>Würde nicht Äpfel mit Birnen vergleichen, sondern einen großen und einen kleinen Äpfel nehmen. Da macht der Vergleich mehr Sinn und man könnte weiterrechnen. Den Gewichtsunterschied in Zusammenhang mit einem Preisunterschied setzen.</t>
  </si>
  <si>
    <t xml:space="preserve">Heute bekommt er 28 neue Sticker dazu. </t>
  </si>
  <si>
    <t>Die Schüler müssen genau lesen und benötigen mehrere Rechenschritte. 15x12 können die 4.Klassler in der Regel nicht im Kopf rechnen, sondern sie benötigen evtl eine schriftliche Rechnung oder eine Rechentabelle.</t>
  </si>
  <si>
    <t>Die Formulierung im ersten Satz könnte Verwirrung verursachen. Besser wäre: Astronautin  Lena sammelt am ersten Tag 387 Steine und findet am zweiten Tag nochmal 215 Steine. Insgesamt braucht sie 700 Steine. 
Die Frage könnte man für eine höhere Kompetenzstufe auch weglassen und die Schüler selbst finden lassen.</t>
  </si>
  <si>
    <t xml:space="preserve">Den Durchschnitt auszurechnen schaffen in der Regel nur sehr schlaue Kinder. Häufig wird das Thema nur angeschnitten. Am relevantesten ist für die Kinder einen Notendurchschnitt auszurechnen. </t>
  </si>
  <si>
    <t>Yes (Hard)</t>
  </si>
  <si>
    <t>Der Durchschnitt ist für die Kinder vor allem beim Notendurchschnitt relevant. Eine komplexe Bauernhof Aufgabe interessiert vermutlich nur Kinder mit Bauernhof. Alle anderen steigen schon bei 345 Hühner und dem Wort "durchschnittlich" aus.</t>
  </si>
  <si>
    <t>Ich glaube, die Kinder verstehen nicht an wen das Geld gezahlt wird. Ich würde die Aufgabe konkreter formulieren. Wo geht die Klassenfahrt hin? An wen bezahlen sie die erste Summe? An wen geht die zweite Summe? Warum bezahlen sie überhaupt zwei verschiedene Summen zu zwei verschiedenen Zeitpunkten. 
Besser: Der Bus dort hin kostet xy. Der Ausflug zum Kletterpark kostet xy. Wie viel Geld bleibt für das Schwimmbad übrig.</t>
  </si>
  <si>
    <t>Die Frage wäre so leichter zu verstehen: Wie viele Gramm Äpfel hat sie nun insgesamt?</t>
  </si>
  <si>
    <t>Participant 10</t>
  </si>
  <si>
    <t>Warum ist die Aufgabenstellung wichtig für 1 Kind? Warum ist die Aufgabe für ein Kind wichtig?</t>
  </si>
  <si>
    <t>Warum sollte es für ein Kibd wichtig sein, zu wissen, wie viele SPROSSEN es sind??? Macht keinen Sinn, also keine Motivation, das zu lösen!</t>
  </si>
  <si>
    <t>Zusammenhang von Astronatin zum Steinesammeln ist nicht nachvollziehbar!!! Warum? Weshalb braucht eine Astronautin 700 Steine?</t>
  </si>
  <si>
    <t>Nicht wichtig für ein Kind im Grunschulater!!! Was soll das bringen, zu wissen, wie der Durchschnitt ist!?!?! Unsinnig!!!!</t>
  </si>
  <si>
    <t>Warum ist es wichtig, das auszurechnen???? Nachvollziehbarer fehlt!</t>
  </si>
  <si>
    <t>Warum ist es wichtig, die Fragestellung zu beantworten????</t>
  </si>
  <si>
    <t>Participant 11</t>
  </si>
  <si>
    <t xml:space="preserve">Aufgabe geeignet für 2.Klasse.Oder Wiederholung in den ersten beiden Schulwochen 3.Klasse. </t>
  </si>
  <si>
    <t>Participant 12</t>
  </si>
  <si>
    <t>Sehr einfach, sobald der 1000er Raum in der 3.Klasse eingeführt ist, da ähnliche Aufgaben im angepassten Zahlenraum bis 100 bereits in der 2.Klasse gestellt werden.</t>
  </si>
  <si>
    <t>Heute sammeln die Kinder keine Sticker mehr!</t>
  </si>
  <si>
    <t>Man müsste vorab einen Alltagsbezug herstellen (Wofür muss man die Anzahl der Sprossen wissen???), z.B. Die Sprossen müssen aus Sicherheitsgründen überprüft werden, wie viele Sprossen muss der Prüfer prüfen, wenn...</t>
  </si>
  <si>
    <t>Wofür braucht ein Kind 700 Steine??? Alltagsbezug fehlt!</t>
  </si>
  <si>
    <t>Das Wort "Durchschnitt" muss vorher bekannt sein.</t>
  </si>
  <si>
    <t>Participant 13</t>
  </si>
  <si>
    <t>sehr leicht, allenfalls Anfang dritte Klasse</t>
  </si>
  <si>
    <t>viele Informationen</t>
  </si>
  <si>
    <t xml:space="preserve">Begriftt Durchschnitt; Durchschnittsberechnung erfordert die Beherrschung des Teilens; </t>
  </si>
  <si>
    <t>Begriff durchschnittlich</t>
  </si>
  <si>
    <t>Jgst. 4 wegen des Werts über 1000</t>
  </si>
  <si>
    <t>Besser: Wie viel Gramm Äpfel hat sie?</t>
  </si>
  <si>
    <t>Participant 14</t>
  </si>
  <si>
    <t>Sehr verständlich, hoher Lebensweltbezug</t>
  </si>
  <si>
    <t>Gut: mehrschrittige Lösung notwendig, genaues Lesen erforderlich</t>
  </si>
  <si>
    <t>Unklarer von der Formulierung durch "findet mehr"</t>
  </si>
  <si>
    <t>"Durchschnitt" missverständlich für Kinder, Relevanz der Information nicht ersichtlich</t>
  </si>
  <si>
    <t>Fermi Aufgabe, mehrschrittige Rechnung notwendig, Problemlösendes Denken erforderlich</t>
  </si>
  <si>
    <t>Umrechnung l --&gt; ml könnte vergessen werden, viele 0, Fehlerquelle</t>
  </si>
  <si>
    <t>genaues Lesen notwendig, dass 2. und 3. Klassen zusammen aufgeführt wurden</t>
  </si>
  <si>
    <t>Warum werden Äpfel in g angegeben? Lieber von Menge Äpfel reden, Äpfel in g klingt mathematisch falsch</t>
  </si>
  <si>
    <t>Aufgabe-ID</t>
  </si>
  <si>
    <t>Kommentar</t>
  </si>
  <si>
    <t>Aufgabe wenig komplex, warum Vergleich der Früchte? Textaufgabe in dieser Form unnötig, da keine relevanten Lösungsschritte gebraucht werden.</t>
  </si>
  <si>
    <t>Der Wortschatz ist einfach und die Formulierung kurz, was va für Kinder mit DAZ hilfreich ist.
Das Thema ist für Kinder interessant, wenn sie handlungsorientiert selber wiegen dürfen, wenn es andere Gegenstände aus der spielerischen Lebenswelt der Kinder wären oder wenn der Aufgabe mehr Kontext gegeben wäre. (Warum möchte ich das Gewicht vergleichen?)
Es ist eine "verkleidete Textaufgabe". Sie gibt Übungsaufgaben zum Rechnen (im neuen Zahlenraum) beispielhaft inhaltliche Bedeutung. Es ist aber keine Aufgabe, die (komplexeres) problemlösendes Denken fördert.</t>
  </si>
  <si>
    <t>Niveau 2. Klasse.</t>
  </si>
  <si>
    <t>Heute bekommt er 28 neue Sticker dazu.</t>
  </si>
  <si>
    <t>Aufgabe geeignet für 2.Klasse.Oder Wiederholung in den ersten beiden Schulwochen 3.Klasse.</t>
  </si>
  <si>
    <t>Warum soll man das berechnen? Mehr Kontext nötig.</t>
  </si>
  <si>
    <t>Was für Steine und warum? Vielleicht lieber Tiere und Nüsse für den Winter oder so. Bei Astronauten klingt das unrealistisch.</t>
  </si>
  <si>
    <t>Blöde Formulierung. Was bedeutet "Sie sammelt...mehr"? Schlechtes Deutsch. Zudem: Warum sammelt eine Astronautin Steine?</t>
  </si>
  <si>
    <t>Die Komplexität mit dem Rechnen in zwei Schritten ist für die dritte Klasse passend, aber über die Informationen könnten sich Kinder nicht-mathematische und verwirrende bzw. ablenkende Fragen stellen: Warum sammelt Lena Steine? Hat das Steinesammeln etwas damit zu tun, das sie Astronautin ist?</t>
  </si>
  <si>
    <t>Sammelt unf findet mehr = verwirrend
Besser: … hat schon 387 Steine gesammelt. Heute findet/ sammelt  sie noch 215 Steine.</t>
  </si>
  <si>
    <t>Den Durchschnitt auszurechnen schaffen in der Regel nur sehr schlaue Kinder. Häufig wird das Thema nur angeschnitten. Am relevantesten ist für die Kinder einen Notendurchschnitt auszurechnen.</t>
  </si>
  <si>
    <t>Begriftt Durchschnitt; Durchschnittsberechnung erfordert die Beherrschung des Teilens;</t>
  </si>
  <si>
    <t>Warum 2 Zahlungen?</t>
  </si>
  <si>
    <t>Eintrittskarten sind weder Kosten für Popcorn noch für Getränke. Es müsste 'das Kino nimmt ein' heißen</t>
  </si>
  <si>
    <t>Das Wort „davon“ deutet in diesem Kontext an, dass im Eintrittspreis Popcorn + Getränk eingeschlossen ist, also inclusive. Dies passt nicht zur Realität, welche die Kinder kennen.</t>
  </si>
  <si>
    <t>Problem A</t>
  </si>
  <si>
    <t>Problem B</t>
  </si>
  <si>
    <t>Lernplanrelevanz</t>
  </si>
  <si>
    <t>Klassenstufe</t>
  </si>
  <si>
    <t>Unnötige Nummern</t>
  </si>
  <si>
    <t>Schwierigkeit</t>
  </si>
  <si>
    <t>Nachvollziehbar</t>
  </si>
  <si>
    <t>Qualitaet</t>
  </si>
  <si>
    <t>Identification</t>
  </si>
  <si>
    <t>Problem</t>
  </si>
  <si>
    <t>Problem_A</t>
  </si>
  <si>
    <t>Problem_B</t>
  </si>
  <si>
    <t>Source</t>
  </si>
  <si>
    <t>Intended Grade</t>
  </si>
  <si>
    <t>Problem 1</t>
  </si>
  <si>
    <t>ChatGPT</t>
  </si>
  <si>
    <t>Grade 3</t>
  </si>
  <si>
    <t>Problem 2</t>
  </si>
  <si>
    <t>Problem 3</t>
  </si>
  <si>
    <t>Grade 4</t>
  </si>
  <si>
    <t>Problem 4</t>
  </si>
  <si>
    <t>Problem 5</t>
  </si>
  <si>
    <t>Gemini</t>
  </si>
  <si>
    <t>Problem 6</t>
  </si>
  <si>
    <t>Problem 7</t>
  </si>
  <si>
    <t>Problem 8</t>
  </si>
  <si>
    <t>Problem 9</t>
  </si>
  <si>
    <t>Real-life</t>
  </si>
  <si>
    <t>Problem 10</t>
  </si>
  <si>
    <t>Problem 11</t>
  </si>
  <si>
    <t>Problem 12</t>
  </si>
  <si>
    <t>Incorrect</t>
  </si>
  <si>
    <t>Correct</t>
  </si>
  <si>
    <t>AI</t>
  </si>
  <si>
    <t>Non-AI</t>
  </si>
  <si>
    <t>Correct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</si>
</sst>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sz val="10"/>
      <color theme="1"/>
      <name val="Arial"/>
      <family val="2"/>
      <scheme val="minor"/>
    </font>
    <font>
      <sz val="10"/>
      <color rgb="FF000000"/>
      <name val="Arial"/>
      <family val="2"/>
    </font>
    <font>
      <sz val="10"/>
      <color rgb="FF000000"/>
      <name val="Arial"/>
      <family val="2"/>
      <scheme val="minor"/>
    </font>
    <font>
      <b/>
      <sz val="10"/>
      <color rgb="FF000000"/>
      <name val="Arial"/>
      <family val="2"/>
      <scheme val="minor"/>
    </font>
    <font>
      <sz val="10"/>
      <color theme="0"/>
      <name val="Arial"/>
      <family val="2"/>
      <scheme val="minor"/>
    </font>
    <font>
      <sz val="10"/>
      <color theme="0"/>
      <name val="Roboto"/>
    </font>
    <font>
      <sz val="11"/>
      <color rgb="FF000000"/>
      <name val="Calibri"/>
      <family val="2"/>
    </font>
  </fonts>
  <fills count="3">
    <fill>
      <patternFill patternType="none"/>
    </fill>
    <fill>
      <patternFill patternType="gray125"/>
    </fill>
    <fill>
      <patternFill patternType="solid">
        <fgColor rgb="FF5B3F86"/>
        <bgColor rgb="FF5B3F86"/>
      </patternFill>
    </fill>
  </fills>
  <borders count="2">
    <border>
      <left/>
      <right/>
      <top/>
      <bottom/>
      <diagonal/>
    </border>
    <border>
      <left style="thin">
        <color rgb="FF5B3F86"/>
      </left>
      <right style="thin">
        <color rgb="FF5B3F86"/>
      </right>
      <top style="thin">
        <color rgb="FF442F65"/>
      </top>
      <bottom style="thin">
        <color rgb="FF442F65"/>
      </bottom>
      <diagonal/>
    </border>
  </borders>
  <cellStyleXfs count="1">
    <xf numFmtId="0" fontId="0" fillId="0" borderId="0"/>
  </cellStyleXfs>
  <cellXfs count="21">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2" fillId="0" borderId="0" xfId="0" applyFont="1"/>
    <xf numFmtId="0" fontId="2" fillId="0" borderId="0" xfId="0" applyFont="1" applyAlignment="1">
      <alignment horizontal="right"/>
    </xf>
    <xf numFmtId="0" fontId="3" fillId="0" borderId="0" xfId="0" applyFont="1"/>
    <xf numFmtId="0" fontId="4" fillId="0" borderId="0" xfId="0" applyFont="1" applyAlignment="1">
      <alignment horizontal="center"/>
    </xf>
    <xf numFmtId="10" fontId="3" fillId="0" borderId="0" xfId="0" applyNumberFormat="1" applyFont="1"/>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0" fontId="5" fillId="0" borderId="0" xfId="0" applyFont="1" applyAlignment="1">
      <alignment horizontal="left" vertical="center"/>
    </xf>
    <xf numFmtId="0" fontId="6" fillId="2" borderId="1" xfId="0" applyFont="1" applyFill="1" applyBorder="1" applyAlignment="1">
      <alignment horizontal="left" vertical="center"/>
    </xf>
    <xf numFmtId="0" fontId="5" fillId="0" borderId="0" xfId="0" applyFont="1"/>
    <xf numFmtId="0" fontId="7" fillId="0" borderId="0" xfId="0" applyFont="1"/>
    <xf numFmtId="9" fontId="7" fillId="0" borderId="0" xfId="0" applyNumberFormat="1" applyFont="1"/>
    <xf numFmtId="1" fontId="0" fillId="0" borderId="0" xfId="0" applyNumberForma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39">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theme="0"/>
      </font>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9">
    <tableStyle name="Original-style" pivot="0" count="4" xr9:uid="{00000000-0011-0000-FFFF-FFFF00000000}">
      <tableStyleElement type="wholeTable" size="0" dxfId="38"/>
      <tableStyleElement type="headerRow" dxfId="37"/>
      <tableStyleElement type="firstRowStripe" dxfId="36"/>
      <tableStyleElement type="secondRowStripe" dxfId="35"/>
    </tableStyle>
    <tableStyle name="H01-style" pivot="0" count="4" xr9:uid="{00000000-0011-0000-FFFF-FFFF01000000}">
      <tableStyleElement type="wholeTable" size="0" dxfId="34"/>
      <tableStyleElement type="headerRow" dxfId="33"/>
      <tableStyleElement type="firstRowStripe" dxfId="32"/>
      <tableStyleElement type="secondRowStripe" dxfId="31"/>
    </tableStyle>
    <tableStyle name="H01-style 2" pivot="0" count="4" xr9:uid="{00000000-0011-0000-FFFF-FFFF02000000}">
      <tableStyleElement type="wholeTable" size="0" dxfId="30"/>
      <tableStyleElement type="headerRow" dxfId="29"/>
      <tableStyleElement type="firstRowStripe" dxfId="28"/>
      <tableStyleElement type="secondRowStripe" dxfId="27"/>
    </tableStyle>
    <tableStyle name="H01-style 3" pivot="0" count="4" xr9:uid="{00000000-0011-0000-FFFF-FFFF03000000}">
      <tableStyleElement type="wholeTable" size="0" dxfId="26"/>
      <tableStyleElement type="headerRow" dxfId="25"/>
      <tableStyleElement type="firstRowStripe" dxfId="24"/>
      <tableStyleElement type="secondRowStripe" dxfId="23"/>
    </tableStyle>
    <tableStyle name="工作表4-style" pivot="0" count="4" xr9:uid="{00000000-0011-0000-FFFF-FFFF04000000}">
      <tableStyleElement type="wholeTable" size="0" dxfId="22"/>
      <tableStyleElement type="headerRow" dxfId="21"/>
      <tableStyleElement type="firstRowStripe" dxfId="20"/>
      <tableStyleElement type="secondRowStripe" dxfId="19"/>
    </tableStyle>
    <tableStyle name="工作表4-style 2" pivot="0" count="4" xr9:uid="{00000000-0011-0000-FFFF-FFFF05000000}">
      <tableStyleElement type="wholeTable" size="0" dxfId="18"/>
      <tableStyleElement type="headerRow" dxfId="17"/>
      <tableStyleElement type="firstRowStripe" dxfId="16"/>
      <tableStyleElement type="secondRowStripe" dxfId="15"/>
    </tableStyle>
    <tableStyle name="工作表4-style 3" pivot="0" count="4" xr9:uid="{00000000-0011-0000-FFFF-FFFF06000000}">
      <tableStyleElement type="wholeTable" size="0" dxfId="14"/>
      <tableStyleElement type="headerRow" dxfId="13"/>
      <tableStyleElement type="firstRowStripe" dxfId="12"/>
      <tableStyleElement type="secondRowStripe" dxfId="11"/>
    </tableStyle>
    <tableStyle name="工作表4-style 4" pivot="0" count="4" xr9:uid="{00000000-0011-0000-FFFF-FFFF07000000}">
      <tableStyleElement type="wholeTable" size="0" dxfId="10"/>
      <tableStyleElement type="headerRow" dxfId="9"/>
      <tableStyleElement type="firstRowStripe" dxfId="8"/>
      <tableStyleElement type="secondRowStripe" dxfId="7"/>
    </tableStyle>
    <tableStyle name="H03-style" pivot="0" count="4" xr9:uid="{00000000-0011-0000-FFFF-FFFF08000000}">
      <tableStyleElement type="wholeTable" size="0" dxfId="6"/>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K15" headerRowDxfId="2">
  <tableColumns count="89">
    <tableColumn id="1" xr3:uid="{00000000-0010-0000-0000-000001000000}" name="Participant"/>
    <tableColumn id="2" xr3:uid="{00000000-0010-0000-0000-000002000000}" name="Unterrichtserfahrung (in Jahren)"/>
    <tableColumn id="3" xr3:uid="{00000000-0010-0000-0000-000003000000}" name="Welche Klassenstufe(n) unterrichten Sie derzeit?"/>
    <tableColumn id="4" xr3:uid="{00000000-0010-0000-0000-000004000000}" name="P1_Geeignete_Klassenstufe"/>
    <tableColumn id="5" xr3:uid="{00000000-0010-0000-0000-000005000000}" name="P1_Lehrplanrelevanz"/>
    <tableColumn id="6" xr3:uid="{00000000-0010-0000-0000-000006000000}" name="P1_Ablenkungen"/>
    <tableColumn id="7" xr3:uid="{00000000-0010-0000-0000-000007000000}" name="P1_Schwierigkeit"/>
    <tableColumn id="8" xr3:uid="{00000000-0010-0000-0000-000008000000}" name="P1_Plausibel"/>
    <tableColumn id="9" xr3:uid="{00000000-0010-0000-0000-000009000000}" name="P1_Qualitaet"/>
    <tableColumn id="10" xr3:uid="{00000000-0010-0000-0000-00000A000000}" name="P1_Kommentar"/>
    <tableColumn id="11" xr3:uid="{00000000-0010-0000-0000-00000B000000}" name="P2_Geeignete_Klassenstufe"/>
    <tableColumn id="12" xr3:uid="{00000000-0010-0000-0000-00000C000000}" name="P2_Lehrplanrelevanz"/>
    <tableColumn id="13" xr3:uid="{00000000-0010-0000-0000-00000D000000}" name="P2_Ablenkungen"/>
    <tableColumn id="14" xr3:uid="{00000000-0010-0000-0000-00000E000000}" name="P2_Schwierigkeit"/>
    <tableColumn id="15" xr3:uid="{00000000-0010-0000-0000-00000F000000}" name="P2_Plausibel"/>
    <tableColumn id="16" xr3:uid="{00000000-0010-0000-0000-000010000000}" name="P2_Qualitaet"/>
    <tableColumn id="17" xr3:uid="{00000000-0010-0000-0000-000011000000}" name="P2_Kommentar"/>
    <tableColumn id="18" xr3:uid="{00000000-0010-0000-0000-000012000000}" name="P3_Geeignete_Klassenstufe"/>
    <tableColumn id="19" xr3:uid="{00000000-0010-0000-0000-000013000000}" name="P3_Lehrplanrelevanz"/>
    <tableColumn id="20" xr3:uid="{00000000-0010-0000-0000-000014000000}" name="P3_Ablenkungen"/>
    <tableColumn id="21" xr3:uid="{00000000-0010-0000-0000-000015000000}" name="P3_Schwierigkeit"/>
    <tableColumn id="22" xr3:uid="{00000000-0010-0000-0000-000016000000}" name="P3_Plausibel"/>
    <tableColumn id="23" xr3:uid="{00000000-0010-0000-0000-000017000000}" name="P3_Qualitaet"/>
    <tableColumn id="24" xr3:uid="{00000000-0010-0000-0000-000018000000}" name="P3_Kommentar"/>
    <tableColumn id="25" xr3:uid="{00000000-0010-0000-0000-000019000000}" name="P4_Geeignete_Klassenstufe"/>
    <tableColumn id="26" xr3:uid="{00000000-0010-0000-0000-00001A000000}" name="P4_Lehrplanrelevanz"/>
    <tableColumn id="27" xr3:uid="{00000000-0010-0000-0000-00001B000000}" name="P4_Ablenkungen"/>
    <tableColumn id="28" xr3:uid="{00000000-0010-0000-0000-00001C000000}" name="P4_Schwierigkeit"/>
    <tableColumn id="29" xr3:uid="{00000000-0010-0000-0000-00001D000000}" name="P4_Plausibel"/>
    <tableColumn id="30" xr3:uid="{00000000-0010-0000-0000-00001E000000}" name="P4_Qualitaet"/>
    <tableColumn id="31" xr3:uid="{00000000-0010-0000-0000-00001F000000}" name="P4_Kommentar"/>
    <tableColumn id="32" xr3:uid="{00000000-0010-0000-0000-000020000000}" name="P5_Geeignete_Klassenstufe"/>
    <tableColumn id="33" xr3:uid="{00000000-0010-0000-0000-000021000000}" name="P5_Lehrplanrelevanz"/>
    <tableColumn id="34" xr3:uid="{00000000-0010-0000-0000-000022000000}" name="P5_Ablenkungen"/>
    <tableColumn id="35" xr3:uid="{00000000-0010-0000-0000-000023000000}" name="P5_Schwierigkeit"/>
    <tableColumn id="36" xr3:uid="{00000000-0010-0000-0000-000024000000}" name="P5_Plausibel"/>
    <tableColumn id="37" xr3:uid="{00000000-0010-0000-0000-000025000000}" name="P5_Qualitaet"/>
    <tableColumn id="38" xr3:uid="{00000000-0010-0000-0000-000026000000}" name="P5_Kommentar"/>
    <tableColumn id="39" xr3:uid="{00000000-0010-0000-0000-000027000000}" name="P6_Geeignete_Klassenstufe"/>
    <tableColumn id="40" xr3:uid="{00000000-0010-0000-0000-000028000000}" name="P6_Lehrplanrelevanz"/>
    <tableColumn id="41" xr3:uid="{00000000-0010-0000-0000-000029000000}" name="P6_Ablenkungen"/>
    <tableColumn id="42" xr3:uid="{00000000-0010-0000-0000-00002A000000}" name="P6_Schwierigkeit"/>
    <tableColumn id="43" xr3:uid="{00000000-0010-0000-0000-00002B000000}" name="P6_Plausibel"/>
    <tableColumn id="44" xr3:uid="{00000000-0010-0000-0000-00002C000000}" name="P6_Qualitaet"/>
    <tableColumn id="45" xr3:uid="{00000000-0010-0000-0000-00002D000000}" name="P6_Kommentar"/>
    <tableColumn id="46" xr3:uid="{00000000-0010-0000-0000-00002E000000}" name="P7_Geeignete_Klassenstufe"/>
    <tableColumn id="47" xr3:uid="{00000000-0010-0000-0000-00002F000000}" name="P7_Lehrplanrelevanz"/>
    <tableColumn id="48" xr3:uid="{00000000-0010-0000-0000-000030000000}" name="P7_Ablenkungen"/>
    <tableColumn id="49" xr3:uid="{00000000-0010-0000-0000-000031000000}" name="P7_Schwierigkeit"/>
    <tableColumn id="50" xr3:uid="{00000000-0010-0000-0000-000032000000}" name="P7_Plausibel"/>
    <tableColumn id="51" xr3:uid="{00000000-0010-0000-0000-000033000000}" name="P7_Qualitaet"/>
    <tableColumn id="52" xr3:uid="{00000000-0010-0000-0000-000034000000}" name="P7_Kommentar"/>
    <tableColumn id="53" xr3:uid="{00000000-0010-0000-0000-000035000000}" name="P8_Geeignete_Klassenstufe"/>
    <tableColumn id="54" xr3:uid="{00000000-0010-0000-0000-000036000000}" name="P8_Lehrplanrelevanz"/>
    <tableColumn id="55" xr3:uid="{00000000-0010-0000-0000-000037000000}" name="P8_Ablenkungen"/>
    <tableColumn id="56" xr3:uid="{00000000-0010-0000-0000-000038000000}" name="P8_Schwierigkeit"/>
    <tableColumn id="57" xr3:uid="{00000000-0010-0000-0000-000039000000}" name="P8_Plausibel"/>
    <tableColumn id="58" xr3:uid="{00000000-0010-0000-0000-00003A000000}" name="P8_Qualitaet"/>
    <tableColumn id="59" xr3:uid="{00000000-0010-0000-0000-00003B000000}" name="P8_Kommentar"/>
    <tableColumn id="60" xr3:uid="{00000000-0010-0000-0000-00003C000000}" name="P9_Geeignete_Klassenstufe"/>
    <tableColumn id="61" xr3:uid="{00000000-0010-0000-0000-00003D000000}" name="P9_Lehrplanrelevanz"/>
    <tableColumn id="62" xr3:uid="{00000000-0010-0000-0000-00003E000000}" name="P9_Ablenkungen"/>
    <tableColumn id="63" xr3:uid="{00000000-0010-0000-0000-00003F000000}" name="P9_Schwierigkeit"/>
    <tableColumn id="64" xr3:uid="{00000000-0010-0000-0000-000040000000}" name="P9_Plausibel"/>
    <tableColumn id="65" xr3:uid="{00000000-0010-0000-0000-000041000000}" name="P9_Qualitaet"/>
    <tableColumn id="66" xr3:uid="{00000000-0010-0000-0000-000042000000}" name="P9_Kommentar"/>
    <tableColumn id="67" xr3:uid="{00000000-0010-0000-0000-000043000000}" name="P10_Geeignete_Klassenstufe"/>
    <tableColumn id="68" xr3:uid="{00000000-0010-0000-0000-000044000000}" name="P10_Lehrplanrelevanz"/>
    <tableColumn id="69" xr3:uid="{00000000-0010-0000-0000-000045000000}" name="P10_Ablenkungen"/>
    <tableColumn id="70" xr3:uid="{00000000-0010-0000-0000-000046000000}" name="P10_Schwierigkeit"/>
    <tableColumn id="71" xr3:uid="{00000000-0010-0000-0000-000047000000}" name="P10_Plausibel"/>
    <tableColumn id="72" xr3:uid="{00000000-0010-0000-0000-000048000000}" name="P10_Qualitaet"/>
    <tableColumn id="73" xr3:uid="{00000000-0010-0000-0000-000049000000}" name="P10_Kommentar"/>
    <tableColumn id="74" xr3:uid="{00000000-0010-0000-0000-00004A000000}" name="P11_Geeignete_Klassenstufe"/>
    <tableColumn id="75" xr3:uid="{00000000-0010-0000-0000-00004B000000}" name="P11_Lehrplanrelevanz"/>
    <tableColumn id="76" xr3:uid="{00000000-0010-0000-0000-00004C000000}" name="P11_Ablenkungen"/>
    <tableColumn id="77" xr3:uid="{00000000-0010-0000-0000-00004D000000}" name="P11_Schwierigkeit"/>
    <tableColumn id="78" xr3:uid="{00000000-0010-0000-0000-00004E000000}" name="P11_Plausibel"/>
    <tableColumn id="79" xr3:uid="{00000000-0010-0000-0000-00004F000000}" name="P11_Qualitaet"/>
    <tableColumn id="80" xr3:uid="{00000000-0010-0000-0000-000050000000}" name="P11_Kommentar"/>
    <tableColumn id="81" xr3:uid="{00000000-0010-0000-0000-000051000000}" name="P12_Geeignete_Klassenstufe"/>
    <tableColumn id="82" xr3:uid="{00000000-0010-0000-0000-000052000000}" name="P12_Lehrplanrelevanz"/>
    <tableColumn id="83" xr3:uid="{00000000-0010-0000-0000-000053000000}" name="P12_Ablenkungen"/>
    <tableColumn id="84" xr3:uid="{00000000-0010-0000-0000-000054000000}" name="P12_Schwierigkeit"/>
    <tableColumn id="85" xr3:uid="{00000000-0010-0000-0000-000055000000}" name="P12_Plausibel"/>
    <tableColumn id="86" xr3:uid="{00000000-0010-0000-0000-000056000000}" name="P12_Qualitaet"/>
    <tableColumn id="87" xr3:uid="{00000000-0010-0000-0000-000057000000}" name="P12_Kommentar"/>
    <tableColumn id="88" xr3:uid="{00000000-0010-0000-0000-000058000000}" name="Problem A" dataDxfId="1"/>
    <tableColumn id="89" xr3:uid="{00000000-0010-0000-0000-000059000000}" name="Problem B" dataDxfId="0"/>
  </tableColumns>
  <tableStyleInfo name="Origina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K15"/>
  <sheetViews>
    <sheetView zoomScale="142" workbookViewId="0">
      <pane ySplit="1" topLeftCell="A2" activePane="bottomLeft" state="frozen"/>
      <selection pane="bottomLeft" activeCell="D1" sqref="D1"/>
    </sheetView>
  </sheetViews>
  <sheetFormatPr baseColWidth="10" defaultColWidth="12.6640625" defaultRowHeight="15.75" customHeight="1" x14ac:dyDescent="0.15"/>
  <cols>
    <col min="1" max="1" width="18.83203125" customWidth="1"/>
    <col min="2" max="2" width="28.6640625" customWidth="1"/>
    <col min="3" max="89" width="37.6640625" customWidth="1"/>
    <col min="90" max="95" width="18.83203125" customWidth="1"/>
  </cols>
  <sheetData>
    <row r="1" spans="1:89" s="15" customFormat="1" ht="22.5" customHeight="1" x14ac:dyDescent="0.1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42</v>
      </c>
      <c r="AR1" s="14" t="s">
        <v>43</v>
      </c>
      <c r="AS1" s="14" t="s">
        <v>44</v>
      </c>
      <c r="AT1" s="14" t="s">
        <v>45</v>
      </c>
      <c r="AU1" s="14" t="s">
        <v>46</v>
      </c>
      <c r="AV1" s="14" t="s">
        <v>47</v>
      </c>
      <c r="AW1" s="14" t="s">
        <v>48</v>
      </c>
      <c r="AX1" s="14" t="s">
        <v>49</v>
      </c>
      <c r="AY1" s="14"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c r="BM1" s="14" t="s">
        <v>64</v>
      </c>
      <c r="BN1" s="14" t="s">
        <v>65</v>
      </c>
      <c r="BO1" s="14" t="s">
        <v>66</v>
      </c>
      <c r="BP1" s="14" t="s">
        <v>67</v>
      </c>
      <c r="BQ1" s="14" t="s">
        <v>68</v>
      </c>
      <c r="BR1" s="14" t="s">
        <v>69</v>
      </c>
      <c r="BS1" s="14" t="s">
        <v>70</v>
      </c>
      <c r="BT1" s="14" t="s">
        <v>71</v>
      </c>
      <c r="BU1" s="14" t="s">
        <v>72</v>
      </c>
      <c r="BV1" s="14" t="s">
        <v>73</v>
      </c>
      <c r="BW1" s="14" t="s">
        <v>74</v>
      </c>
      <c r="BX1" s="14" t="s">
        <v>75</v>
      </c>
      <c r="BY1" s="14" t="s">
        <v>76</v>
      </c>
      <c r="BZ1" s="14" t="s">
        <v>77</v>
      </c>
      <c r="CA1" s="14" t="s">
        <v>78</v>
      </c>
      <c r="CB1" s="14" t="s">
        <v>79</v>
      </c>
      <c r="CC1" s="14" t="s">
        <v>80</v>
      </c>
      <c r="CD1" s="14" t="s">
        <v>81</v>
      </c>
      <c r="CE1" s="14" t="s">
        <v>82</v>
      </c>
      <c r="CF1" s="14" t="s">
        <v>83</v>
      </c>
      <c r="CG1" s="14" t="s">
        <v>84</v>
      </c>
      <c r="CH1" s="14" t="s">
        <v>85</v>
      </c>
      <c r="CI1" s="14" t="s">
        <v>86</v>
      </c>
      <c r="CJ1" s="13" t="s">
        <v>222</v>
      </c>
      <c r="CK1" s="13" t="s">
        <v>223</v>
      </c>
    </row>
    <row r="2" spans="1:89" ht="22.5" customHeight="1" x14ac:dyDescent="0.15">
      <c r="A2" s="2" t="s">
        <v>87</v>
      </c>
      <c r="B2" s="2" t="s">
        <v>88</v>
      </c>
      <c r="C2" s="2" t="s">
        <v>89</v>
      </c>
      <c r="D2" s="2" t="s">
        <v>90</v>
      </c>
      <c r="E2" s="2" t="s">
        <v>91</v>
      </c>
      <c r="F2" s="2" t="s">
        <v>92</v>
      </c>
      <c r="G2" s="2" t="s">
        <v>93</v>
      </c>
      <c r="H2" s="2">
        <v>3</v>
      </c>
      <c r="I2" s="2">
        <v>2</v>
      </c>
      <c r="J2" s="2" t="s">
        <v>94</v>
      </c>
      <c r="K2" s="2" t="s">
        <v>95</v>
      </c>
      <c r="L2" s="2" t="s">
        <v>91</v>
      </c>
      <c r="M2" s="2" t="s">
        <v>92</v>
      </c>
      <c r="N2" s="2" t="s">
        <v>93</v>
      </c>
      <c r="O2" s="2">
        <v>4</v>
      </c>
      <c r="P2" s="2">
        <v>2</v>
      </c>
      <c r="Q2" s="2" t="s">
        <v>96</v>
      </c>
      <c r="R2" s="2" t="s">
        <v>97</v>
      </c>
      <c r="S2" s="2" t="s">
        <v>91</v>
      </c>
      <c r="T2" s="2" t="s">
        <v>98</v>
      </c>
      <c r="U2" s="2" t="s">
        <v>99</v>
      </c>
      <c r="V2" s="2">
        <v>3</v>
      </c>
      <c r="W2" s="2">
        <v>3</v>
      </c>
      <c r="X2" s="2" t="s">
        <v>100</v>
      </c>
      <c r="Y2" s="2" t="s">
        <v>97</v>
      </c>
      <c r="Z2" s="2" t="s">
        <v>91</v>
      </c>
      <c r="AA2" s="2" t="s">
        <v>98</v>
      </c>
      <c r="AB2" s="2" t="s">
        <v>101</v>
      </c>
      <c r="AC2" s="2">
        <v>3</v>
      </c>
      <c r="AD2" s="2">
        <v>3</v>
      </c>
      <c r="AE2" s="2" t="s">
        <v>102</v>
      </c>
      <c r="AF2" s="2" t="s">
        <v>97</v>
      </c>
      <c r="AG2" s="2" t="s">
        <v>91</v>
      </c>
      <c r="AH2" s="2" t="s">
        <v>92</v>
      </c>
      <c r="AI2" s="2" t="s">
        <v>99</v>
      </c>
      <c r="AJ2" s="2">
        <v>3</v>
      </c>
      <c r="AK2" s="2">
        <v>3</v>
      </c>
      <c r="AL2" s="2" t="s">
        <v>103</v>
      </c>
      <c r="AM2" s="2" t="s">
        <v>104</v>
      </c>
      <c r="AN2" s="2" t="s">
        <v>91</v>
      </c>
      <c r="AO2" s="2" t="s">
        <v>92</v>
      </c>
      <c r="AP2" s="2" t="s">
        <v>99</v>
      </c>
      <c r="AQ2" s="2">
        <v>2</v>
      </c>
      <c r="AR2" s="2">
        <v>2</v>
      </c>
      <c r="AS2" s="2" t="s">
        <v>105</v>
      </c>
      <c r="AT2" s="2" t="s">
        <v>97</v>
      </c>
      <c r="AU2" s="2" t="s">
        <v>91</v>
      </c>
      <c r="AV2" s="2" t="s">
        <v>106</v>
      </c>
      <c r="AW2" s="2" t="s">
        <v>99</v>
      </c>
      <c r="AX2" s="2">
        <v>3</v>
      </c>
      <c r="AY2" s="2">
        <v>3</v>
      </c>
      <c r="AZ2" s="2" t="s">
        <v>107</v>
      </c>
      <c r="BA2" s="2" t="s">
        <v>108</v>
      </c>
      <c r="BB2" s="2" t="s">
        <v>91</v>
      </c>
      <c r="BC2" s="2" t="s">
        <v>98</v>
      </c>
      <c r="BD2" s="2" t="s">
        <v>101</v>
      </c>
      <c r="BE2" s="2">
        <v>2</v>
      </c>
      <c r="BF2" s="2">
        <v>2</v>
      </c>
      <c r="BG2" s="2" t="s">
        <v>109</v>
      </c>
      <c r="BH2" s="2" t="s">
        <v>108</v>
      </c>
      <c r="BI2" s="2" t="s">
        <v>91</v>
      </c>
      <c r="BJ2" s="2" t="s">
        <v>98</v>
      </c>
      <c r="BK2" s="2" t="s">
        <v>101</v>
      </c>
      <c r="BL2" s="2">
        <v>2</v>
      </c>
      <c r="BM2" s="2">
        <v>3</v>
      </c>
      <c r="BN2" s="2" t="s">
        <v>110</v>
      </c>
      <c r="BO2" s="2" t="s">
        <v>108</v>
      </c>
      <c r="BP2" s="2" t="s">
        <v>91</v>
      </c>
      <c r="BQ2" s="2" t="s">
        <v>98</v>
      </c>
      <c r="BR2" s="2" t="s">
        <v>101</v>
      </c>
      <c r="BS2" s="2">
        <v>3</v>
      </c>
      <c r="BT2" s="2">
        <v>3</v>
      </c>
      <c r="BU2" s="2" t="s">
        <v>111</v>
      </c>
      <c r="BV2" s="2" t="s">
        <v>108</v>
      </c>
      <c r="BW2" s="2" t="s">
        <v>91</v>
      </c>
      <c r="BX2" s="2" t="s">
        <v>92</v>
      </c>
      <c r="BY2" s="2" t="s">
        <v>101</v>
      </c>
      <c r="BZ2" s="2">
        <v>3</v>
      </c>
      <c r="CA2" s="2">
        <v>3</v>
      </c>
      <c r="CB2" s="2"/>
      <c r="CC2" s="2" t="s">
        <v>108</v>
      </c>
      <c r="CD2" s="2" t="s">
        <v>91</v>
      </c>
      <c r="CE2" s="2" t="s">
        <v>92</v>
      </c>
      <c r="CF2" s="2" t="s">
        <v>101</v>
      </c>
      <c r="CG2" s="2">
        <v>3</v>
      </c>
      <c r="CH2" s="2">
        <v>3</v>
      </c>
      <c r="CI2" s="2"/>
      <c r="CJ2" s="8">
        <v>0</v>
      </c>
      <c r="CK2" s="8">
        <v>1</v>
      </c>
    </row>
    <row r="3" spans="1:89" ht="22.5" customHeight="1" x14ac:dyDescent="0.15">
      <c r="A3" s="2" t="s">
        <v>112</v>
      </c>
      <c r="B3" s="2" t="s">
        <v>113</v>
      </c>
      <c r="C3" s="2" t="s">
        <v>95</v>
      </c>
      <c r="D3" s="2" t="s">
        <v>95</v>
      </c>
      <c r="E3" s="2" t="s">
        <v>91</v>
      </c>
      <c r="F3" s="2" t="s">
        <v>92</v>
      </c>
      <c r="G3" s="2" t="s">
        <v>93</v>
      </c>
      <c r="H3" s="2">
        <v>5</v>
      </c>
      <c r="I3" s="2">
        <v>5</v>
      </c>
      <c r="J3" s="2"/>
      <c r="K3" s="2" t="s">
        <v>95</v>
      </c>
      <c r="L3" s="2" t="s">
        <v>91</v>
      </c>
      <c r="M3" s="2" t="s">
        <v>92</v>
      </c>
      <c r="N3" s="2" t="s">
        <v>93</v>
      </c>
      <c r="O3" s="2">
        <v>4</v>
      </c>
      <c r="P3" s="2">
        <v>4</v>
      </c>
      <c r="Q3" s="2"/>
      <c r="R3" s="2" t="s">
        <v>108</v>
      </c>
      <c r="S3" s="2" t="s">
        <v>91</v>
      </c>
      <c r="T3" s="2" t="s">
        <v>92</v>
      </c>
      <c r="U3" s="2" t="s">
        <v>99</v>
      </c>
      <c r="V3" s="2">
        <v>3</v>
      </c>
      <c r="W3" s="2">
        <v>3</v>
      </c>
      <c r="X3" s="2"/>
      <c r="Y3" s="2" t="s">
        <v>95</v>
      </c>
      <c r="Z3" s="2" t="s">
        <v>91</v>
      </c>
      <c r="AA3" s="2" t="s">
        <v>92</v>
      </c>
      <c r="AB3" s="2" t="s">
        <v>99</v>
      </c>
      <c r="AC3" s="2">
        <v>4</v>
      </c>
      <c r="AD3" s="2">
        <v>5</v>
      </c>
      <c r="AE3" s="2"/>
      <c r="AF3" s="2" t="s">
        <v>95</v>
      </c>
      <c r="AG3" s="2" t="s">
        <v>91</v>
      </c>
      <c r="AH3" s="2" t="s">
        <v>92</v>
      </c>
      <c r="AI3" s="2" t="s">
        <v>99</v>
      </c>
      <c r="AJ3" s="2">
        <v>4</v>
      </c>
      <c r="AK3" s="2">
        <v>4</v>
      </c>
      <c r="AL3" s="2"/>
      <c r="AM3" s="2" t="s">
        <v>108</v>
      </c>
      <c r="AN3" s="2" t="s">
        <v>91</v>
      </c>
      <c r="AO3" s="2" t="s">
        <v>92</v>
      </c>
      <c r="AP3" s="2" t="s">
        <v>101</v>
      </c>
      <c r="AQ3" s="2">
        <v>3</v>
      </c>
      <c r="AR3" s="2">
        <v>4</v>
      </c>
      <c r="AS3" s="2"/>
      <c r="AT3" s="2" t="s">
        <v>108</v>
      </c>
      <c r="AU3" s="2" t="s">
        <v>91</v>
      </c>
      <c r="AV3" s="2" t="s">
        <v>106</v>
      </c>
      <c r="AW3" s="2" t="s">
        <v>93</v>
      </c>
      <c r="AX3" s="2">
        <v>3</v>
      </c>
      <c r="AY3" s="2">
        <v>5</v>
      </c>
      <c r="AZ3" s="2"/>
      <c r="BA3" s="2" t="s">
        <v>108</v>
      </c>
      <c r="BB3" s="2" t="s">
        <v>91</v>
      </c>
      <c r="BC3" s="2" t="s">
        <v>92</v>
      </c>
      <c r="BD3" s="2" t="s">
        <v>99</v>
      </c>
      <c r="BE3" s="2">
        <v>3</v>
      </c>
      <c r="BF3" s="2">
        <v>4</v>
      </c>
      <c r="BG3" s="2"/>
      <c r="BH3" s="2" t="s">
        <v>108</v>
      </c>
      <c r="BI3" s="2" t="s">
        <v>91</v>
      </c>
      <c r="BJ3" s="2" t="s">
        <v>92</v>
      </c>
      <c r="BK3" s="2" t="s">
        <v>93</v>
      </c>
      <c r="BL3" s="2">
        <v>5</v>
      </c>
      <c r="BM3" s="2">
        <v>5</v>
      </c>
      <c r="BN3" s="2"/>
      <c r="BO3" s="2" t="s">
        <v>108</v>
      </c>
      <c r="BP3" s="2" t="s">
        <v>91</v>
      </c>
      <c r="BQ3" s="2" t="s">
        <v>92</v>
      </c>
      <c r="BR3" s="2" t="s">
        <v>99</v>
      </c>
      <c r="BS3" s="2">
        <v>4</v>
      </c>
      <c r="BT3" s="2">
        <v>3</v>
      </c>
      <c r="BU3" s="2" t="s">
        <v>114</v>
      </c>
      <c r="BV3" s="2" t="s">
        <v>97</v>
      </c>
      <c r="BW3" s="2" t="s">
        <v>91</v>
      </c>
      <c r="BX3" s="2" t="s">
        <v>92</v>
      </c>
      <c r="BY3" s="2" t="s">
        <v>93</v>
      </c>
      <c r="BZ3" s="2">
        <v>5</v>
      </c>
      <c r="CA3" s="2">
        <v>4</v>
      </c>
      <c r="CB3" s="2"/>
      <c r="CC3" s="2" t="s">
        <v>97</v>
      </c>
      <c r="CD3" s="2" t="s">
        <v>91</v>
      </c>
      <c r="CE3" s="2" t="s">
        <v>98</v>
      </c>
      <c r="CF3" s="2" t="s">
        <v>99</v>
      </c>
      <c r="CG3" s="2">
        <v>3</v>
      </c>
      <c r="CH3" s="2">
        <v>3</v>
      </c>
      <c r="CI3" s="2"/>
      <c r="CJ3" s="8">
        <v>1</v>
      </c>
      <c r="CK3" s="8">
        <v>1</v>
      </c>
    </row>
    <row r="4" spans="1:89" ht="22.5" customHeight="1" x14ac:dyDescent="0.15">
      <c r="A4" s="2" t="s">
        <v>115</v>
      </c>
      <c r="B4" s="2" t="s">
        <v>113</v>
      </c>
      <c r="C4" s="2" t="s">
        <v>95</v>
      </c>
      <c r="D4" s="2" t="s">
        <v>95</v>
      </c>
      <c r="E4" s="2" t="s">
        <v>91</v>
      </c>
      <c r="F4" s="2" t="s">
        <v>92</v>
      </c>
      <c r="G4" s="2" t="s">
        <v>93</v>
      </c>
      <c r="H4" s="2">
        <v>3</v>
      </c>
      <c r="I4" s="2">
        <v>3</v>
      </c>
      <c r="J4" s="2" t="s">
        <v>116</v>
      </c>
      <c r="K4" s="2" t="s">
        <v>90</v>
      </c>
      <c r="L4" s="2" t="s">
        <v>117</v>
      </c>
      <c r="M4" s="2" t="s">
        <v>92</v>
      </c>
      <c r="N4" s="2" t="s">
        <v>93</v>
      </c>
      <c r="O4" s="2">
        <v>5</v>
      </c>
      <c r="P4" s="2">
        <v>5</v>
      </c>
      <c r="Q4" s="2" t="s">
        <v>118</v>
      </c>
      <c r="R4" s="2" t="s">
        <v>95</v>
      </c>
      <c r="S4" s="2" t="s">
        <v>91</v>
      </c>
      <c r="T4" s="2" t="s">
        <v>92</v>
      </c>
      <c r="U4" s="2" t="s">
        <v>101</v>
      </c>
      <c r="V4" s="2">
        <v>3</v>
      </c>
      <c r="W4" s="2">
        <v>3</v>
      </c>
      <c r="X4" s="2"/>
      <c r="Y4" s="2" t="s">
        <v>95</v>
      </c>
      <c r="Z4" s="2" t="s">
        <v>91</v>
      </c>
      <c r="AA4" s="2" t="s">
        <v>92</v>
      </c>
      <c r="AB4" s="2" t="s">
        <v>99</v>
      </c>
      <c r="AC4" s="2">
        <v>4</v>
      </c>
      <c r="AD4" s="2">
        <v>4</v>
      </c>
      <c r="AE4" s="2"/>
      <c r="AF4" s="2" t="s">
        <v>95</v>
      </c>
      <c r="AG4" s="2" t="s">
        <v>91</v>
      </c>
      <c r="AH4" s="2" t="s">
        <v>92</v>
      </c>
      <c r="AI4" s="2" t="s">
        <v>99</v>
      </c>
      <c r="AJ4" s="2">
        <v>5</v>
      </c>
      <c r="AK4" s="2">
        <v>5</v>
      </c>
      <c r="AL4" s="2"/>
      <c r="AM4" s="2" t="s">
        <v>104</v>
      </c>
      <c r="AN4" s="2" t="s">
        <v>117</v>
      </c>
      <c r="AO4" s="2" t="s">
        <v>98</v>
      </c>
      <c r="AP4" s="2" t="s">
        <v>101</v>
      </c>
      <c r="AQ4" s="2">
        <v>5</v>
      </c>
      <c r="AR4" s="2">
        <v>5</v>
      </c>
      <c r="AS4" s="2" t="s">
        <v>119</v>
      </c>
      <c r="AT4" s="2" t="s">
        <v>108</v>
      </c>
      <c r="AU4" s="2" t="s">
        <v>91</v>
      </c>
      <c r="AV4" s="2" t="s">
        <v>106</v>
      </c>
      <c r="AW4" s="2" t="s">
        <v>99</v>
      </c>
      <c r="AX4" s="2">
        <v>4</v>
      </c>
      <c r="AY4" s="2">
        <v>5</v>
      </c>
      <c r="AZ4" s="2"/>
      <c r="BA4" s="2" t="s">
        <v>108</v>
      </c>
      <c r="BB4" s="2" t="s">
        <v>91</v>
      </c>
      <c r="BC4" s="2" t="s">
        <v>92</v>
      </c>
      <c r="BD4" s="2" t="s">
        <v>101</v>
      </c>
      <c r="BE4" s="2">
        <v>5</v>
      </c>
      <c r="BF4" s="2">
        <v>5</v>
      </c>
      <c r="BG4" s="2"/>
      <c r="BH4" s="2" t="s">
        <v>108</v>
      </c>
      <c r="BI4" s="2" t="s">
        <v>91</v>
      </c>
      <c r="BJ4" s="2" t="s">
        <v>92</v>
      </c>
      <c r="BK4" s="2" t="s">
        <v>99</v>
      </c>
      <c r="BL4" s="2">
        <v>5</v>
      </c>
      <c r="BM4" s="2">
        <v>5</v>
      </c>
      <c r="BN4" s="2"/>
      <c r="BO4" s="2" t="s">
        <v>95</v>
      </c>
      <c r="BP4" s="2" t="s">
        <v>91</v>
      </c>
      <c r="BQ4" s="2" t="s">
        <v>98</v>
      </c>
      <c r="BR4" s="2" t="s">
        <v>101</v>
      </c>
      <c r="BS4" s="2">
        <v>5</v>
      </c>
      <c r="BT4" s="2">
        <v>2</v>
      </c>
      <c r="BU4" s="2" t="s">
        <v>120</v>
      </c>
      <c r="BV4" s="2" t="s">
        <v>95</v>
      </c>
      <c r="BW4" s="2" t="s">
        <v>91</v>
      </c>
      <c r="BX4" s="2" t="s">
        <v>92</v>
      </c>
      <c r="BY4" s="2" t="s">
        <v>99</v>
      </c>
      <c r="BZ4" s="2">
        <v>5</v>
      </c>
      <c r="CA4" s="2">
        <v>5</v>
      </c>
      <c r="CB4" s="2"/>
      <c r="CC4" s="2" t="s">
        <v>108</v>
      </c>
      <c r="CD4" s="2" t="s">
        <v>91</v>
      </c>
      <c r="CE4" s="2" t="s">
        <v>92</v>
      </c>
      <c r="CF4" s="2" t="s">
        <v>93</v>
      </c>
      <c r="CG4" s="2">
        <v>4</v>
      </c>
      <c r="CH4" s="2">
        <v>5</v>
      </c>
      <c r="CI4" s="2"/>
      <c r="CJ4" s="8">
        <v>0</v>
      </c>
      <c r="CK4" s="8">
        <v>1</v>
      </c>
    </row>
    <row r="5" spans="1:89" ht="22.5" customHeight="1" x14ac:dyDescent="0.15">
      <c r="A5" s="2" t="s">
        <v>121</v>
      </c>
      <c r="B5" s="2" t="s">
        <v>122</v>
      </c>
      <c r="C5" s="2" t="s">
        <v>97</v>
      </c>
      <c r="D5" s="2" t="s">
        <v>90</v>
      </c>
      <c r="E5" s="2" t="s">
        <v>91</v>
      </c>
      <c r="F5" s="2" t="s">
        <v>92</v>
      </c>
      <c r="G5" s="2" t="s">
        <v>93</v>
      </c>
      <c r="H5" s="2">
        <v>3</v>
      </c>
      <c r="I5" s="2">
        <v>2</v>
      </c>
      <c r="J5" s="2" t="s">
        <v>123</v>
      </c>
      <c r="K5" s="2" t="s">
        <v>90</v>
      </c>
      <c r="L5" s="2" t="s">
        <v>117</v>
      </c>
      <c r="M5" s="2" t="s">
        <v>92</v>
      </c>
      <c r="N5" s="2" t="s">
        <v>93</v>
      </c>
      <c r="O5" s="2">
        <v>3</v>
      </c>
      <c r="P5" s="2">
        <v>2</v>
      </c>
      <c r="Q5" s="2" t="s">
        <v>124</v>
      </c>
      <c r="R5" s="2" t="s">
        <v>97</v>
      </c>
      <c r="S5" s="2" t="s">
        <v>91</v>
      </c>
      <c r="T5" s="2" t="s">
        <v>92</v>
      </c>
      <c r="U5" s="2" t="s">
        <v>99</v>
      </c>
      <c r="V5" s="2">
        <v>3</v>
      </c>
      <c r="W5" s="2">
        <v>3</v>
      </c>
      <c r="X5" s="2" t="s">
        <v>125</v>
      </c>
      <c r="Y5" s="2" t="s">
        <v>95</v>
      </c>
      <c r="Z5" s="2" t="s">
        <v>91</v>
      </c>
      <c r="AA5" s="2" t="s">
        <v>92</v>
      </c>
      <c r="AB5" s="2" t="s">
        <v>99</v>
      </c>
      <c r="AC5" s="2">
        <v>2</v>
      </c>
      <c r="AD5" s="2">
        <v>3</v>
      </c>
      <c r="AE5" s="2" t="s">
        <v>126</v>
      </c>
      <c r="AF5" s="2" t="s">
        <v>95</v>
      </c>
      <c r="AG5" s="2" t="s">
        <v>127</v>
      </c>
      <c r="AH5" s="2" t="s">
        <v>92</v>
      </c>
      <c r="AI5" s="2" t="s">
        <v>93</v>
      </c>
      <c r="AJ5" s="2">
        <v>3</v>
      </c>
      <c r="AK5" s="2">
        <v>3</v>
      </c>
      <c r="AL5" s="2"/>
      <c r="AM5" s="2" t="s">
        <v>108</v>
      </c>
      <c r="AN5" s="2" t="s">
        <v>91</v>
      </c>
      <c r="AO5" s="2" t="s">
        <v>92</v>
      </c>
      <c r="AP5" s="2" t="s">
        <v>99</v>
      </c>
      <c r="AQ5" s="2">
        <v>4</v>
      </c>
      <c r="AR5" s="2">
        <v>4</v>
      </c>
      <c r="AS5" s="2"/>
      <c r="AT5" s="2" t="s">
        <v>95</v>
      </c>
      <c r="AU5" s="2" t="s">
        <v>91</v>
      </c>
      <c r="AV5" s="2" t="s">
        <v>106</v>
      </c>
      <c r="AW5" s="2" t="s">
        <v>93</v>
      </c>
      <c r="AX5" s="2">
        <v>4</v>
      </c>
      <c r="AY5" s="2">
        <v>4</v>
      </c>
      <c r="AZ5" s="2"/>
      <c r="BA5" s="2" t="s">
        <v>108</v>
      </c>
      <c r="BB5" s="2" t="s">
        <v>91</v>
      </c>
      <c r="BC5" s="2" t="s">
        <v>92</v>
      </c>
      <c r="BD5" s="2" t="s">
        <v>93</v>
      </c>
      <c r="BE5" s="2">
        <v>4</v>
      </c>
      <c r="BF5" s="2">
        <v>4</v>
      </c>
      <c r="BG5" s="2"/>
      <c r="BH5" s="2" t="s">
        <v>108</v>
      </c>
      <c r="BI5" s="2" t="s">
        <v>91</v>
      </c>
      <c r="BJ5" s="2" t="s">
        <v>92</v>
      </c>
      <c r="BK5" s="2" t="s">
        <v>93</v>
      </c>
      <c r="BL5" s="2">
        <v>3</v>
      </c>
      <c r="BM5" s="2">
        <v>3</v>
      </c>
      <c r="BN5" s="2" t="s">
        <v>128</v>
      </c>
      <c r="BO5" s="2" t="s">
        <v>95</v>
      </c>
      <c r="BP5" s="2" t="s">
        <v>91</v>
      </c>
      <c r="BQ5" s="2" t="s">
        <v>98</v>
      </c>
      <c r="BR5" s="2" t="s">
        <v>99</v>
      </c>
      <c r="BS5" s="2">
        <v>2</v>
      </c>
      <c r="BT5" s="2">
        <v>2</v>
      </c>
      <c r="BU5" s="2" t="s">
        <v>129</v>
      </c>
      <c r="BV5" s="2" t="s">
        <v>95</v>
      </c>
      <c r="BW5" s="2" t="s">
        <v>91</v>
      </c>
      <c r="BX5" s="2" t="s">
        <v>92</v>
      </c>
      <c r="BY5" s="2" t="s">
        <v>99</v>
      </c>
      <c r="BZ5" s="2">
        <v>4</v>
      </c>
      <c r="CA5" s="2">
        <v>4</v>
      </c>
      <c r="CB5" s="2"/>
      <c r="CC5" s="2" t="s">
        <v>95</v>
      </c>
      <c r="CD5" s="2" t="s">
        <v>91</v>
      </c>
      <c r="CE5" s="2" t="s">
        <v>92</v>
      </c>
      <c r="CF5" s="2" t="s">
        <v>93</v>
      </c>
      <c r="CG5" s="2">
        <v>3</v>
      </c>
      <c r="CH5" s="2">
        <v>3</v>
      </c>
      <c r="CI5" s="2"/>
      <c r="CJ5" s="8">
        <v>1</v>
      </c>
      <c r="CK5" s="8">
        <v>1</v>
      </c>
    </row>
    <row r="6" spans="1:89" ht="22.5" customHeight="1" x14ac:dyDescent="0.15">
      <c r="A6" s="2" t="s">
        <v>130</v>
      </c>
      <c r="B6" s="2" t="s">
        <v>88</v>
      </c>
      <c r="C6" s="2" t="s">
        <v>97</v>
      </c>
      <c r="D6" s="2" t="s">
        <v>95</v>
      </c>
      <c r="E6" s="2" t="s">
        <v>91</v>
      </c>
      <c r="F6" s="2" t="s">
        <v>92</v>
      </c>
      <c r="G6" s="2" t="s">
        <v>93</v>
      </c>
      <c r="H6" s="2">
        <v>5</v>
      </c>
      <c r="I6" s="2">
        <v>5</v>
      </c>
      <c r="J6" s="2"/>
      <c r="K6" s="2" t="s">
        <v>95</v>
      </c>
      <c r="L6" s="2" t="s">
        <v>91</v>
      </c>
      <c r="M6" s="2" t="s">
        <v>92</v>
      </c>
      <c r="N6" s="2" t="s">
        <v>93</v>
      </c>
      <c r="O6" s="2">
        <v>5</v>
      </c>
      <c r="P6" s="2">
        <v>5</v>
      </c>
      <c r="Q6" s="2"/>
      <c r="R6" s="2" t="s">
        <v>108</v>
      </c>
      <c r="S6" s="2" t="s">
        <v>91</v>
      </c>
      <c r="T6" s="2" t="s">
        <v>92</v>
      </c>
      <c r="U6" s="2" t="s">
        <v>101</v>
      </c>
      <c r="V6" s="2">
        <v>5</v>
      </c>
      <c r="W6" s="2">
        <v>5</v>
      </c>
      <c r="X6" s="2"/>
      <c r="Y6" s="2" t="s">
        <v>97</v>
      </c>
      <c r="Z6" s="2" t="s">
        <v>91</v>
      </c>
      <c r="AA6" s="2" t="s">
        <v>98</v>
      </c>
      <c r="AB6" s="2" t="s">
        <v>99</v>
      </c>
      <c r="AC6" s="2">
        <v>3</v>
      </c>
      <c r="AD6" s="2">
        <v>3</v>
      </c>
      <c r="AE6" s="2" t="s">
        <v>131</v>
      </c>
      <c r="AF6" s="2" t="s">
        <v>95</v>
      </c>
      <c r="AG6" s="2" t="s">
        <v>91</v>
      </c>
      <c r="AH6" s="2" t="s">
        <v>92</v>
      </c>
      <c r="AI6" s="2" t="s">
        <v>99</v>
      </c>
      <c r="AJ6" s="2">
        <v>4</v>
      </c>
      <c r="AK6" s="2">
        <v>4</v>
      </c>
      <c r="AL6" s="2"/>
      <c r="AM6" s="2" t="s">
        <v>108</v>
      </c>
      <c r="AN6" s="2" t="s">
        <v>91</v>
      </c>
      <c r="AO6" s="2" t="s">
        <v>92</v>
      </c>
      <c r="AP6" s="2" t="s">
        <v>99</v>
      </c>
      <c r="AQ6" s="2">
        <v>4</v>
      </c>
      <c r="AR6" s="2">
        <v>4</v>
      </c>
      <c r="AS6" s="2" t="s">
        <v>132</v>
      </c>
      <c r="AT6" s="2" t="s">
        <v>108</v>
      </c>
      <c r="AU6" s="2" t="s">
        <v>91</v>
      </c>
      <c r="AV6" s="2" t="s">
        <v>106</v>
      </c>
      <c r="AW6" s="2" t="s">
        <v>93</v>
      </c>
      <c r="AX6" s="2">
        <v>4</v>
      </c>
      <c r="AY6" s="2">
        <v>4</v>
      </c>
      <c r="AZ6" s="2"/>
      <c r="BA6" s="2" t="s">
        <v>108</v>
      </c>
      <c r="BB6" s="2" t="s">
        <v>91</v>
      </c>
      <c r="BC6" s="2" t="s">
        <v>92</v>
      </c>
      <c r="BD6" s="2" t="s">
        <v>99</v>
      </c>
      <c r="BE6" s="2">
        <v>4</v>
      </c>
      <c r="BF6" s="2">
        <v>4</v>
      </c>
      <c r="BG6" s="2"/>
      <c r="BH6" s="2" t="s">
        <v>108</v>
      </c>
      <c r="BI6" s="2" t="s">
        <v>91</v>
      </c>
      <c r="BJ6" s="2" t="s">
        <v>92</v>
      </c>
      <c r="BK6" s="2" t="s">
        <v>93</v>
      </c>
      <c r="BL6" s="2">
        <v>4</v>
      </c>
      <c r="BM6" s="2">
        <v>4</v>
      </c>
      <c r="BN6" s="2" t="s">
        <v>133</v>
      </c>
      <c r="BO6" s="2" t="s">
        <v>108</v>
      </c>
      <c r="BP6" s="2" t="s">
        <v>91</v>
      </c>
      <c r="BQ6" s="2" t="s">
        <v>92</v>
      </c>
      <c r="BR6" s="2" t="s">
        <v>99</v>
      </c>
      <c r="BS6" s="2">
        <v>2</v>
      </c>
      <c r="BT6" s="2">
        <v>2</v>
      </c>
      <c r="BU6" s="2" t="s">
        <v>134</v>
      </c>
      <c r="BV6" s="2" t="s">
        <v>97</v>
      </c>
      <c r="BW6" s="2" t="s">
        <v>91</v>
      </c>
      <c r="BX6" s="2" t="s">
        <v>92</v>
      </c>
      <c r="BY6" s="2" t="s">
        <v>99</v>
      </c>
      <c r="BZ6" s="2">
        <v>4</v>
      </c>
      <c r="CA6" s="2">
        <v>4</v>
      </c>
      <c r="CB6" s="2" t="s">
        <v>135</v>
      </c>
      <c r="CC6" s="2" t="s">
        <v>108</v>
      </c>
      <c r="CD6" s="2" t="s">
        <v>91</v>
      </c>
      <c r="CE6" s="2" t="s">
        <v>92</v>
      </c>
      <c r="CF6" s="2" t="s">
        <v>93</v>
      </c>
      <c r="CG6" s="2">
        <v>4</v>
      </c>
      <c r="CH6" s="2">
        <v>4</v>
      </c>
      <c r="CI6" s="2" t="s">
        <v>136</v>
      </c>
      <c r="CJ6" s="8">
        <v>1</v>
      </c>
      <c r="CK6" s="8">
        <v>1</v>
      </c>
    </row>
    <row r="7" spans="1:89" ht="22.5" customHeight="1" x14ac:dyDescent="0.15">
      <c r="A7" s="2" t="s">
        <v>137</v>
      </c>
      <c r="B7" s="2" t="s">
        <v>113</v>
      </c>
      <c r="C7" s="2" t="s">
        <v>108</v>
      </c>
      <c r="D7" s="2" t="s">
        <v>95</v>
      </c>
      <c r="E7" s="2" t="s">
        <v>91</v>
      </c>
      <c r="F7" s="2" t="s">
        <v>92</v>
      </c>
      <c r="G7" s="2" t="s">
        <v>93</v>
      </c>
      <c r="H7" s="2">
        <v>4</v>
      </c>
      <c r="I7" s="2">
        <v>3</v>
      </c>
      <c r="J7" s="2" t="s">
        <v>138</v>
      </c>
      <c r="K7" s="2" t="s">
        <v>95</v>
      </c>
      <c r="L7" s="2" t="s">
        <v>127</v>
      </c>
      <c r="M7" s="2" t="s">
        <v>98</v>
      </c>
      <c r="N7" s="2" t="s">
        <v>93</v>
      </c>
      <c r="O7" s="2">
        <v>4</v>
      </c>
      <c r="P7" s="2">
        <v>2</v>
      </c>
      <c r="Q7" s="2" t="s">
        <v>139</v>
      </c>
      <c r="R7" s="2" t="s">
        <v>108</v>
      </c>
      <c r="S7" s="2" t="s">
        <v>91</v>
      </c>
      <c r="T7" s="2" t="s">
        <v>92</v>
      </c>
      <c r="U7" s="2" t="s">
        <v>99</v>
      </c>
      <c r="V7" s="2">
        <v>4</v>
      </c>
      <c r="W7" s="2">
        <v>4</v>
      </c>
      <c r="X7" s="2"/>
      <c r="Y7" s="2" t="s">
        <v>95</v>
      </c>
      <c r="Z7" s="2" t="s">
        <v>91</v>
      </c>
      <c r="AA7" s="2" t="s">
        <v>92</v>
      </c>
      <c r="AB7" s="2" t="s">
        <v>101</v>
      </c>
      <c r="AC7" s="2">
        <v>1</v>
      </c>
      <c r="AD7" s="2">
        <v>2</v>
      </c>
      <c r="AE7" s="2" t="s">
        <v>140</v>
      </c>
      <c r="AF7" s="2" t="s">
        <v>97</v>
      </c>
      <c r="AG7" s="2" t="s">
        <v>91</v>
      </c>
      <c r="AH7" s="2" t="s">
        <v>92</v>
      </c>
      <c r="AI7" s="2" t="s">
        <v>99</v>
      </c>
      <c r="AJ7" s="2">
        <v>4</v>
      </c>
      <c r="AK7" s="2">
        <v>4</v>
      </c>
      <c r="AL7" s="2"/>
      <c r="AM7" s="2" t="s">
        <v>108</v>
      </c>
      <c r="AN7" s="2" t="s">
        <v>127</v>
      </c>
      <c r="AO7" s="2" t="s">
        <v>98</v>
      </c>
      <c r="AP7" s="2" t="s">
        <v>101</v>
      </c>
      <c r="AQ7" s="2">
        <v>4</v>
      </c>
      <c r="AR7" s="2">
        <v>4</v>
      </c>
      <c r="AS7" s="2" t="s">
        <v>141</v>
      </c>
      <c r="AT7" s="2" t="s">
        <v>108</v>
      </c>
      <c r="AU7" s="2" t="s">
        <v>91</v>
      </c>
      <c r="AV7" s="2" t="s">
        <v>106</v>
      </c>
      <c r="AW7" s="2" t="s">
        <v>99</v>
      </c>
      <c r="AX7" s="2">
        <v>5</v>
      </c>
      <c r="AY7" s="2">
        <v>5</v>
      </c>
      <c r="AZ7" s="2"/>
      <c r="BA7" s="2" t="s">
        <v>108</v>
      </c>
      <c r="BB7" s="2" t="s">
        <v>91</v>
      </c>
      <c r="BC7" s="2" t="s">
        <v>92</v>
      </c>
      <c r="BD7" s="2" t="s">
        <v>99</v>
      </c>
      <c r="BE7" s="2">
        <v>5</v>
      </c>
      <c r="BF7" s="2">
        <v>5</v>
      </c>
      <c r="BG7" s="2"/>
      <c r="BH7" s="2" t="s">
        <v>108</v>
      </c>
      <c r="BI7" s="2" t="s">
        <v>91</v>
      </c>
      <c r="BJ7" s="2" t="s">
        <v>92</v>
      </c>
      <c r="BK7" s="2" t="s">
        <v>93</v>
      </c>
      <c r="BL7" s="2">
        <v>5</v>
      </c>
      <c r="BM7" s="2">
        <v>4</v>
      </c>
      <c r="BN7" s="2" t="s">
        <v>142</v>
      </c>
      <c r="BO7" s="2" t="s">
        <v>108</v>
      </c>
      <c r="BP7" s="2" t="s">
        <v>127</v>
      </c>
      <c r="BQ7" s="2" t="s">
        <v>98</v>
      </c>
      <c r="BR7" s="2" t="s">
        <v>101</v>
      </c>
      <c r="BS7" s="2">
        <v>3</v>
      </c>
      <c r="BT7" s="2">
        <v>3</v>
      </c>
      <c r="BU7" s="2" t="s">
        <v>143</v>
      </c>
      <c r="BV7" s="2" t="s">
        <v>97</v>
      </c>
      <c r="BW7" s="2" t="s">
        <v>91</v>
      </c>
      <c r="BX7" s="2" t="s">
        <v>92</v>
      </c>
      <c r="BY7" s="2" t="s">
        <v>99</v>
      </c>
      <c r="BZ7" s="2">
        <v>5</v>
      </c>
      <c r="CA7" s="2">
        <v>4</v>
      </c>
      <c r="CB7" s="2" t="s">
        <v>144</v>
      </c>
      <c r="CC7" s="2" t="s">
        <v>108</v>
      </c>
      <c r="CD7" s="2" t="s">
        <v>91</v>
      </c>
      <c r="CE7" s="2" t="s">
        <v>92</v>
      </c>
      <c r="CF7" s="2" t="s">
        <v>99</v>
      </c>
      <c r="CG7" s="2">
        <v>5</v>
      </c>
      <c r="CH7" s="2">
        <v>5</v>
      </c>
      <c r="CI7" s="2"/>
      <c r="CJ7" s="8">
        <v>1</v>
      </c>
      <c r="CK7" s="8">
        <v>0</v>
      </c>
    </row>
    <row r="8" spans="1:89" ht="22.5" customHeight="1" x14ac:dyDescent="0.15">
      <c r="A8" s="2" t="s">
        <v>145</v>
      </c>
      <c r="B8" s="2" t="s">
        <v>113</v>
      </c>
      <c r="C8" s="2" t="s">
        <v>146</v>
      </c>
      <c r="D8" s="2" t="s">
        <v>95</v>
      </c>
      <c r="E8" s="2" t="s">
        <v>91</v>
      </c>
      <c r="F8" s="2" t="s">
        <v>92</v>
      </c>
      <c r="G8" s="2" t="s">
        <v>93</v>
      </c>
      <c r="H8" s="2">
        <v>5</v>
      </c>
      <c r="I8" s="2">
        <v>3</v>
      </c>
      <c r="J8" s="2" t="s">
        <v>147</v>
      </c>
      <c r="K8" s="2" t="s">
        <v>90</v>
      </c>
      <c r="L8" s="2" t="s">
        <v>91</v>
      </c>
      <c r="M8" s="2" t="s">
        <v>92</v>
      </c>
      <c r="N8" s="2" t="s">
        <v>93</v>
      </c>
      <c r="O8" s="2">
        <v>5</v>
      </c>
      <c r="P8" s="2">
        <v>3</v>
      </c>
      <c r="Q8" s="2" t="s">
        <v>148</v>
      </c>
      <c r="R8" s="2" t="s">
        <v>97</v>
      </c>
      <c r="S8" s="2" t="s">
        <v>91</v>
      </c>
      <c r="T8" s="2" t="s">
        <v>92</v>
      </c>
      <c r="U8" s="2" t="s">
        <v>101</v>
      </c>
      <c r="V8" s="2">
        <v>4</v>
      </c>
      <c r="W8" s="2">
        <v>4</v>
      </c>
      <c r="X8" s="2" t="s">
        <v>149</v>
      </c>
      <c r="Y8" s="2" t="s">
        <v>95</v>
      </c>
      <c r="Z8" s="2" t="s">
        <v>91</v>
      </c>
      <c r="AA8" s="2" t="s">
        <v>98</v>
      </c>
      <c r="AB8" s="2" t="s">
        <v>99</v>
      </c>
      <c r="AC8" s="2">
        <v>2</v>
      </c>
      <c r="AD8" s="2">
        <v>3</v>
      </c>
      <c r="AE8" s="2" t="s">
        <v>150</v>
      </c>
      <c r="AF8" s="2" t="s">
        <v>95</v>
      </c>
      <c r="AG8" s="2" t="s">
        <v>91</v>
      </c>
      <c r="AH8" s="2" t="s">
        <v>92</v>
      </c>
      <c r="AI8" s="2" t="s">
        <v>99</v>
      </c>
      <c r="AJ8" s="2">
        <v>5</v>
      </c>
      <c r="AK8" s="2">
        <v>4</v>
      </c>
      <c r="AL8" s="2" t="s">
        <v>151</v>
      </c>
      <c r="AM8" s="2" t="s">
        <v>108</v>
      </c>
      <c r="AN8" s="2" t="s">
        <v>91</v>
      </c>
      <c r="AO8" s="2" t="s">
        <v>92</v>
      </c>
      <c r="AP8" s="2" t="s">
        <v>99</v>
      </c>
      <c r="AQ8" s="2">
        <v>4</v>
      </c>
      <c r="AR8" s="2">
        <v>4</v>
      </c>
      <c r="AS8" s="2" t="s">
        <v>152</v>
      </c>
      <c r="AT8" s="2" t="s">
        <v>95</v>
      </c>
      <c r="AU8" s="2" t="s">
        <v>91</v>
      </c>
      <c r="AV8" s="2" t="s">
        <v>106</v>
      </c>
      <c r="AW8" s="2" t="s">
        <v>93</v>
      </c>
      <c r="AX8" s="2">
        <v>5</v>
      </c>
      <c r="AY8" s="2">
        <v>3</v>
      </c>
      <c r="AZ8" s="2"/>
      <c r="BA8" s="2" t="s">
        <v>95</v>
      </c>
      <c r="BB8" s="2" t="s">
        <v>91</v>
      </c>
      <c r="BC8" s="2" t="s">
        <v>92</v>
      </c>
      <c r="BD8" s="2" t="s">
        <v>99</v>
      </c>
      <c r="BE8" s="2">
        <v>5</v>
      </c>
      <c r="BF8" s="2">
        <v>4</v>
      </c>
      <c r="BG8" s="2" t="s">
        <v>153</v>
      </c>
      <c r="BH8" s="2" t="s">
        <v>108</v>
      </c>
      <c r="BI8" s="2" t="s">
        <v>91</v>
      </c>
      <c r="BJ8" s="2" t="s">
        <v>92</v>
      </c>
      <c r="BK8" s="2" t="s">
        <v>99</v>
      </c>
      <c r="BL8" s="2">
        <v>5</v>
      </c>
      <c r="BM8" s="2">
        <v>4</v>
      </c>
      <c r="BN8" s="2"/>
      <c r="BO8" s="2" t="s">
        <v>95</v>
      </c>
      <c r="BP8" s="2" t="s">
        <v>91</v>
      </c>
      <c r="BQ8" s="2" t="s">
        <v>98</v>
      </c>
      <c r="BR8" s="2" t="s">
        <v>99</v>
      </c>
      <c r="BS8" s="2">
        <v>1</v>
      </c>
      <c r="BT8" s="2">
        <v>1</v>
      </c>
      <c r="BU8" s="2" t="s">
        <v>154</v>
      </c>
      <c r="BV8" s="2" t="s">
        <v>95</v>
      </c>
      <c r="BW8" s="2" t="s">
        <v>91</v>
      </c>
      <c r="BX8" s="2" t="s">
        <v>92</v>
      </c>
      <c r="BY8" s="2" t="s">
        <v>99</v>
      </c>
      <c r="BZ8" s="2">
        <v>5</v>
      </c>
      <c r="CA8" s="2">
        <v>4</v>
      </c>
      <c r="CB8" s="2"/>
      <c r="CC8" s="2" t="s">
        <v>108</v>
      </c>
      <c r="CD8" s="2" t="s">
        <v>91</v>
      </c>
      <c r="CE8" s="2" t="s">
        <v>92</v>
      </c>
      <c r="CF8" s="2" t="s">
        <v>93</v>
      </c>
      <c r="CG8" s="2">
        <v>5</v>
      </c>
      <c r="CH8" s="2">
        <v>4</v>
      </c>
      <c r="CI8" s="2" t="s">
        <v>155</v>
      </c>
      <c r="CJ8" s="8">
        <v>1</v>
      </c>
      <c r="CK8" s="8">
        <v>0</v>
      </c>
    </row>
    <row r="9" spans="1:89" ht="22.5" customHeight="1" x14ac:dyDescent="0.15">
      <c r="A9" s="2" t="s">
        <v>156</v>
      </c>
      <c r="B9" s="2" t="s">
        <v>88</v>
      </c>
      <c r="C9" s="2" t="s">
        <v>97</v>
      </c>
      <c r="D9" s="2" t="s">
        <v>95</v>
      </c>
      <c r="E9" s="2" t="s">
        <v>91</v>
      </c>
      <c r="F9" s="2" t="s">
        <v>92</v>
      </c>
      <c r="G9" s="2" t="s">
        <v>93</v>
      </c>
      <c r="H9" s="2">
        <v>5</v>
      </c>
      <c r="I9" s="2">
        <v>2</v>
      </c>
      <c r="J9" s="2"/>
      <c r="K9" s="2" t="s">
        <v>95</v>
      </c>
      <c r="L9" s="2" t="s">
        <v>117</v>
      </c>
      <c r="M9" s="2" t="s">
        <v>92</v>
      </c>
      <c r="N9" s="2" t="s">
        <v>93</v>
      </c>
      <c r="O9" s="2">
        <v>4</v>
      </c>
      <c r="P9" s="2">
        <v>4</v>
      </c>
      <c r="Q9" s="2"/>
      <c r="R9" s="2" t="s">
        <v>108</v>
      </c>
      <c r="S9" s="2" t="s">
        <v>91</v>
      </c>
      <c r="T9" s="2" t="s">
        <v>92</v>
      </c>
      <c r="U9" s="2" t="s">
        <v>99</v>
      </c>
      <c r="V9" s="2">
        <v>5</v>
      </c>
      <c r="W9" s="2">
        <v>5</v>
      </c>
      <c r="X9" s="2" t="s">
        <v>157</v>
      </c>
      <c r="Y9" s="2" t="s">
        <v>95</v>
      </c>
      <c r="Z9" s="2" t="s">
        <v>91</v>
      </c>
      <c r="AA9" s="2" t="s">
        <v>98</v>
      </c>
      <c r="AB9" s="2" t="s">
        <v>93</v>
      </c>
      <c r="AC9" s="2">
        <v>5</v>
      </c>
      <c r="AD9" s="2">
        <v>5</v>
      </c>
      <c r="AE9" s="2" t="s">
        <v>158</v>
      </c>
      <c r="AF9" s="2" t="s">
        <v>95</v>
      </c>
      <c r="AG9" s="2" t="s">
        <v>91</v>
      </c>
      <c r="AH9" s="2" t="s">
        <v>92</v>
      </c>
      <c r="AI9" s="2" t="s">
        <v>93</v>
      </c>
      <c r="AJ9" s="2">
        <v>5</v>
      </c>
      <c r="AK9" s="2">
        <v>5</v>
      </c>
      <c r="AL9" s="2" t="s">
        <v>159</v>
      </c>
      <c r="AM9" s="2" t="s">
        <v>108</v>
      </c>
      <c r="AN9" s="2" t="s">
        <v>117</v>
      </c>
      <c r="AO9" s="2" t="s">
        <v>92</v>
      </c>
      <c r="AP9" s="2" t="s">
        <v>99</v>
      </c>
      <c r="AQ9" s="2">
        <v>4</v>
      </c>
      <c r="AR9" s="2">
        <v>3</v>
      </c>
      <c r="AS9" s="2" t="s">
        <v>160</v>
      </c>
      <c r="AT9" s="2" t="s">
        <v>108</v>
      </c>
      <c r="AU9" s="2" t="s">
        <v>91</v>
      </c>
      <c r="AV9" s="2" t="s">
        <v>106</v>
      </c>
      <c r="AW9" s="2" t="s">
        <v>99</v>
      </c>
      <c r="AX9" s="2">
        <v>4</v>
      </c>
      <c r="AY9" s="2">
        <v>4</v>
      </c>
      <c r="AZ9" s="2"/>
      <c r="BA9" s="2" t="s">
        <v>108</v>
      </c>
      <c r="BB9" s="2" t="s">
        <v>91</v>
      </c>
      <c r="BC9" s="2" t="s">
        <v>92</v>
      </c>
      <c r="BD9" s="2" t="s">
        <v>99</v>
      </c>
      <c r="BE9" s="2">
        <v>5</v>
      </c>
      <c r="BF9" s="2">
        <v>5</v>
      </c>
      <c r="BG9" s="2" t="s">
        <v>161</v>
      </c>
      <c r="BH9" s="2" t="s">
        <v>108</v>
      </c>
      <c r="BI9" s="2" t="s">
        <v>91</v>
      </c>
      <c r="BJ9" s="2" t="s">
        <v>92</v>
      </c>
      <c r="BK9" s="2" t="s">
        <v>99</v>
      </c>
      <c r="BL9" s="2">
        <v>5</v>
      </c>
      <c r="BM9" s="2">
        <v>5</v>
      </c>
      <c r="BN9" s="2" t="s">
        <v>162</v>
      </c>
      <c r="BO9" s="2" t="s">
        <v>108</v>
      </c>
      <c r="BP9" s="2" t="s">
        <v>91</v>
      </c>
      <c r="BQ9" s="2" t="s">
        <v>92</v>
      </c>
      <c r="BR9" s="2" t="s">
        <v>99</v>
      </c>
      <c r="BS9" s="2">
        <v>5</v>
      </c>
      <c r="BT9" s="2">
        <v>5</v>
      </c>
      <c r="BU9" s="2" t="s">
        <v>163</v>
      </c>
      <c r="BV9" s="2" t="s">
        <v>95</v>
      </c>
      <c r="BW9" s="2" t="s">
        <v>91</v>
      </c>
      <c r="BX9" s="2" t="s">
        <v>92</v>
      </c>
      <c r="BY9" s="2" t="s">
        <v>93</v>
      </c>
      <c r="BZ9" s="2">
        <v>5</v>
      </c>
      <c r="CA9" s="2">
        <v>4</v>
      </c>
      <c r="CB9" s="2" t="s">
        <v>161</v>
      </c>
      <c r="CC9" s="2" t="s">
        <v>95</v>
      </c>
      <c r="CD9" s="2" t="s">
        <v>91</v>
      </c>
      <c r="CE9" s="2" t="s">
        <v>92</v>
      </c>
      <c r="CF9" s="2" t="s">
        <v>99</v>
      </c>
      <c r="CG9" s="2">
        <v>4</v>
      </c>
      <c r="CH9" s="2">
        <v>4</v>
      </c>
      <c r="CI9" s="2" t="s">
        <v>161</v>
      </c>
      <c r="CJ9" s="8">
        <v>1</v>
      </c>
      <c r="CK9" s="8">
        <v>0</v>
      </c>
    </row>
    <row r="10" spans="1:89" ht="22.5" customHeight="1" x14ac:dyDescent="0.15">
      <c r="A10" s="2" t="s">
        <v>164</v>
      </c>
      <c r="B10" s="2" t="s">
        <v>88</v>
      </c>
      <c r="C10" s="2" t="s">
        <v>97</v>
      </c>
      <c r="D10" s="2" t="s">
        <v>108</v>
      </c>
      <c r="E10" s="2" t="s">
        <v>91</v>
      </c>
      <c r="F10" s="2" t="s">
        <v>92</v>
      </c>
      <c r="G10" s="2" t="s">
        <v>93</v>
      </c>
      <c r="H10" s="2">
        <v>3</v>
      </c>
      <c r="I10" s="2">
        <v>3</v>
      </c>
      <c r="J10" s="2" t="s">
        <v>165</v>
      </c>
      <c r="K10" s="2" t="s">
        <v>95</v>
      </c>
      <c r="L10" s="2" t="s">
        <v>91</v>
      </c>
      <c r="M10" s="2" t="s">
        <v>92</v>
      </c>
      <c r="N10" s="2" t="s">
        <v>93</v>
      </c>
      <c r="O10" s="2">
        <v>5</v>
      </c>
      <c r="P10" s="2">
        <v>5</v>
      </c>
      <c r="Q10" s="2" t="s">
        <v>166</v>
      </c>
      <c r="R10" s="2" t="s">
        <v>108</v>
      </c>
      <c r="S10" s="2" t="s">
        <v>91</v>
      </c>
      <c r="T10" s="2" t="s">
        <v>98</v>
      </c>
      <c r="U10" s="2" t="s">
        <v>101</v>
      </c>
      <c r="V10" s="2">
        <v>5</v>
      </c>
      <c r="W10" s="2">
        <v>5</v>
      </c>
      <c r="X10" s="2" t="s">
        <v>167</v>
      </c>
      <c r="Y10" s="2" t="s">
        <v>95</v>
      </c>
      <c r="Z10" s="2" t="s">
        <v>91</v>
      </c>
      <c r="AA10" s="2" t="s">
        <v>92</v>
      </c>
      <c r="AB10" s="2" t="s">
        <v>99</v>
      </c>
      <c r="AC10" s="2">
        <v>4</v>
      </c>
      <c r="AD10" s="2">
        <v>5</v>
      </c>
      <c r="AE10" s="2" t="s">
        <v>168</v>
      </c>
      <c r="AF10" s="2" t="s">
        <v>95</v>
      </c>
      <c r="AG10" s="2" t="s">
        <v>91</v>
      </c>
      <c r="AH10" s="2" t="s">
        <v>92</v>
      </c>
      <c r="AI10" s="2" t="s">
        <v>99</v>
      </c>
      <c r="AJ10" s="2">
        <v>5</v>
      </c>
      <c r="AK10" s="2">
        <v>5</v>
      </c>
      <c r="AL10" s="2"/>
      <c r="AM10" s="2" t="s">
        <v>108</v>
      </c>
      <c r="AN10" s="2" t="s">
        <v>91</v>
      </c>
      <c r="AO10" s="2" t="s">
        <v>92</v>
      </c>
      <c r="AP10" s="2" t="s">
        <v>101</v>
      </c>
      <c r="AQ10" s="2">
        <v>3</v>
      </c>
      <c r="AR10" s="2">
        <v>3</v>
      </c>
      <c r="AS10" s="2" t="s">
        <v>169</v>
      </c>
      <c r="AT10" s="2" t="s">
        <v>104</v>
      </c>
      <c r="AU10" s="2" t="s">
        <v>117</v>
      </c>
      <c r="AV10" s="2" t="s">
        <v>170</v>
      </c>
      <c r="AW10" s="2" t="s">
        <v>101</v>
      </c>
      <c r="AX10" s="2">
        <v>3</v>
      </c>
      <c r="AY10" s="2">
        <v>1</v>
      </c>
      <c r="AZ10" s="2" t="s">
        <v>171</v>
      </c>
      <c r="BA10" s="2" t="s">
        <v>108</v>
      </c>
      <c r="BB10" s="2" t="s">
        <v>91</v>
      </c>
      <c r="BC10" s="2" t="s">
        <v>92</v>
      </c>
      <c r="BD10" s="2" t="s">
        <v>99</v>
      </c>
      <c r="BE10" s="2">
        <v>4</v>
      </c>
      <c r="BF10" s="2">
        <v>4</v>
      </c>
      <c r="BG10" s="2"/>
      <c r="BH10" s="2" t="s">
        <v>108</v>
      </c>
      <c r="BI10" s="2" t="s">
        <v>91</v>
      </c>
      <c r="BJ10" s="2" t="s">
        <v>98</v>
      </c>
      <c r="BK10" s="2" t="s">
        <v>99</v>
      </c>
      <c r="BL10" s="2">
        <v>3</v>
      </c>
      <c r="BM10" s="2">
        <v>4</v>
      </c>
      <c r="BN10" s="2" t="s">
        <v>172</v>
      </c>
      <c r="BO10" s="2" t="s">
        <v>108</v>
      </c>
      <c r="BP10" s="2" t="s">
        <v>91</v>
      </c>
      <c r="BQ10" s="2" t="s">
        <v>92</v>
      </c>
      <c r="BR10" s="2" t="s">
        <v>99</v>
      </c>
      <c r="BS10" s="2">
        <v>5</v>
      </c>
      <c r="BT10" s="2">
        <v>5</v>
      </c>
      <c r="BU10" s="2"/>
      <c r="BV10" s="2" t="s">
        <v>95</v>
      </c>
      <c r="BW10" s="2" t="s">
        <v>91</v>
      </c>
      <c r="BX10" s="2" t="s">
        <v>92</v>
      </c>
      <c r="BY10" s="2" t="s">
        <v>99</v>
      </c>
      <c r="BZ10" s="2">
        <v>5</v>
      </c>
      <c r="CA10" s="2">
        <v>5</v>
      </c>
      <c r="CB10" s="2"/>
      <c r="CC10" s="2" t="s">
        <v>108</v>
      </c>
      <c r="CD10" s="2" t="s">
        <v>91</v>
      </c>
      <c r="CE10" s="2" t="s">
        <v>92</v>
      </c>
      <c r="CF10" s="2" t="s">
        <v>99</v>
      </c>
      <c r="CG10" s="2">
        <v>3</v>
      </c>
      <c r="CH10" s="2">
        <v>5</v>
      </c>
      <c r="CI10" s="2" t="s">
        <v>173</v>
      </c>
      <c r="CJ10" s="8">
        <v>0</v>
      </c>
      <c r="CK10" s="8">
        <v>0</v>
      </c>
    </row>
    <row r="11" spans="1:89" ht="22.5" customHeight="1" x14ac:dyDescent="0.15">
      <c r="A11" s="2" t="s">
        <v>174</v>
      </c>
      <c r="B11" s="2" t="s">
        <v>88</v>
      </c>
      <c r="C11" s="2" t="s">
        <v>89</v>
      </c>
      <c r="D11" s="2" t="s">
        <v>95</v>
      </c>
      <c r="E11" s="2" t="s">
        <v>91</v>
      </c>
      <c r="F11" s="2" t="s">
        <v>92</v>
      </c>
      <c r="G11" s="2" t="s">
        <v>93</v>
      </c>
      <c r="H11" s="2">
        <v>4</v>
      </c>
      <c r="I11" s="2">
        <v>3</v>
      </c>
      <c r="J11" s="2" t="s">
        <v>175</v>
      </c>
      <c r="K11" s="2" t="s">
        <v>90</v>
      </c>
      <c r="L11" s="2" t="s">
        <v>91</v>
      </c>
      <c r="M11" s="2" t="s">
        <v>92</v>
      </c>
      <c r="N11" s="2" t="s">
        <v>99</v>
      </c>
      <c r="O11" s="2">
        <v>5</v>
      </c>
      <c r="P11" s="2">
        <v>4</v>
      </c>
      <c r="Q11" s="2"/>
      <c r="R11" s="2" t="s">
        <v>108</v>
      </c>
      <c r="S11" s="2" t="s">
        <v>91</v>
      </c>
      <c r="T11" s="2" t="s">
        <v>98</v>
      </c>
      <c r="U11" s="2" t="s">
        <v>101</v>
      </c>
      <c r="V11" s="2">
        <v>2</v>
      </c>
      <c r="W11" s="2">
        <v>1</v>
      </c>
      <c r="X11" s="2" t="s">
        <v>176</v>
      </c>
      <c r="Y11" s="2" t="s">
        <v>108</v>
      </c>
      <c r="Z11" s="2" t="s">
        <v>91</v>
      </c>
      <c r="AA11" s="2" t="s">
        <v>98</v>
      </c>
      <c r="AB11" s="2" t="s">
        <v>99</v>
      </c>
      <c r="AC11" s="2">
        <v>1</v>
      </c>
      <c r="AD11" s="2">
        <v>2</v>
      </c>
      <c r="AE11" s="2" t="s">
        <v>177</v>
      </c>
      <c r="AF11" s="2" t="s">
        <v>95</v>
      </c>
      <c r="AG11" s="2" t="s">
        <v>91</v>
      </c>
      <c r="AH11" s="2" t="s">
        <v>92</v>
      </c>
      <c r="AI11" s="2" t="s">
        <v>99</v>
      </c>
      <c r="AJ11" s="2">
        <v>4</v>
      </c>
      <c r="AK11" s="2">
        <v>4</v>
      </c>
      <c r="AL11" s="2"/>
      <c r="AM11" s="2" t="s">
        <v>108</v>
      </c>
      <c r="AN11" s="2" t="s">
        <v>127</v>
      </c>
      <c r="AO11" s="2" t="s">
        <v>98</v>
      </c>
      <c r="AP11" s="2" t="s">
        <v>101</v>
      </c>
      <c r="AQ11" s="2">
        <v>1</v>
      </c>
      <c r="AR11" s="2">
        <v>1</v>
      </c>
      <c r="AS11" s="2" t="s">
        <v>178</v>
      </c>
      <c r="AT11" s="2" t="s">
        <v>108</v>
      </c>
      <c r="AU11" s="2" t="s">
        <v>91</v>
      </c>
      <c r="AV11" s="2" t="s">
        <v>106</v>
      </c>
      <c r="AW11" s="2" t="s">
        <v>99</v>
      </c>
      <c r="AX11" s="2">
        <v>5</v>
      </c>
      <c r="AY11" s="2">
        <v>5</v>
      </c>
      <c r="AZ11" s="2"/>
      <c r="BA11" s="2" t="s">
        <v>108</v>
      </c>
      <c r="BB11" s="2" t="s">
        <v>127</v>
      </c>
      <c r="BC11" s="2" t="s">
        <v>92</v>
      </c>
      <c r="BD11" s="2" t="s">
        <v>101</v>
      </c>
      <c r="BE11" s="2">
        <v>3</v>
      </c>
      <c r="BF11" s="2">
        <v>3</v>
      </c>
      <c r="BG11" s="2"/>
      <c r="BH11" s="2" t="s">
        <v>108</v>
      </c>
      <c r="BI11" s="2" t="s">
        <v>91</v>
      </c>
      <c r="BJ11" s="2" t="s">
        <v>92</v>
      </c>
      <c r="BK11" s="2" t="s">
        <v>99</v>
      </c>
      <c r="BL11" s="2">
        <v>5</v>
      </c>
      <c r="BM11" s="2">
        <v>4</v>
      </c>
      <c r="BN11" s="2"/>
      <c r="BO11" s="2" t="s">
        <v>108</v>
      </c>
      <c r="BP11" s="2" t="s">
        <v>91</v>
      </c>
      <c r="BQ11" s="2" t="s">
        <v>92</v>
      </c>
      <c r="BR11" s="2" t="s">
        <v>101</v>
      </c>
      <c r="BS11" s="2">
        <v>3</v>
      </c>
      <c r="BT11" s="2">
        <v>2</v>
      </c>
      <c r="BU11" s="2" t="s">
        <v>179</v>
      </c>
      <c r="BV11" s="2" t="s">
        <v>95</v>
      </c>
      <c r="BW11" s="2" t="s">
        <v>91</v>
      </c>
      <c r="BX11" s="2" t="s">
        <v>92</v>
      </c>
      <c r="BY11" s="2" t="s">
        <v>99</v>
      </c>
      <c r="BZ11" s="2">
        <v>4</v>
      </c>
      <c r="CA11" s="2">
        <v>4</v>
      </c>
      <c r="CB11" s="2"/>
      <c r="CC11" s="2" t="s">
        <v>108</v>
      </c>
      <c r="CD11" s="2" t="s">
        <v>91</v>
      </c>
      <c r="CE11" s="2" t="s">
        <v>98</v>
      </c>
      <c r="CF11" s="2" t="s">
        <v>101</v>
      </c>
      <c r="CG11" s="2">
        <v>1</v>
      </c>
      <c r="CH11" s="2">
        <v>1</v>
      </c>
      <c r="CI11" s="2" t="s">
        <v>180</v>
      </c>
      <c r="CJ11" s="8">
        <v>1</v>
      </c>
      <c r="CK11" s="8">
        <v>0</v>
      </c>
    </row>
    <row r="12" spans="1:89" ht="22.5" customHeight="1" x14ac:dyDescent="0.15">
      <c r="A12" s="2" t="s">
        <v>181</v>
      </c>
      <c r="B12" s="2" t="s">
        <v>122</v>
      </c>
      <c r="C12" s="2" t="s">
        <v>108</v>
      </c>
      <c r="D12" s="2" t="s">
        <v>95</v>
      </c>
      <c r="E12" s="2" t="s">
        <v>91</v>
      </c>
      <c r="F12" s="2" t="s">
        <v>92</v>
      </c>
      <c r="G12" s="2" t="s">
        <v>93</v>
      </c>
      <c r="H12" s="2">
        <v>5</v>
      </c>
      <c r="I12" s="2">
        <v>4</v>
      </c>
      <c r="J12" s="2"/>
      <c r="K12" s="2" t="s">
        <v>90</v>
      </c>
      <c r="L12" s="2" t="s">
        <v>117</v>
      </c>
      <c r="M12" s="2" t="s">
        <v>92</v>
      </c>
      <c r="N12" s="2" t="s">
        <v>93</v>
      </c>
      <c r="O12" s="2">
        <v>5</v>
      </c>
      <c r="P12" s="2">
        <v>3</v>
      </c>
      <c r="Q12" s="2" t="s">
        <v>182</v>
      </c>
      <c r="R12" s="2" t="s">
        <v>97</v>
      </c>
      <c r="S12" s="2" t="s">
        <v>91</v>
      </c>
      <c r="T12" s="2" t="s">
        <v>92</v>
      </c>
      <c r="U12" s="2" t="s">
        <v>99</v>
      </c>
      <c r="V12" s="2">
        <v>4</v>
      </c>
      <c r="W12" s="2">
        <v>3</v>
      </c>
      <c r="X12" s="2"/>
      <c r="Y12" s="2" t="s">
        <v>95</v>
      </c>
      <c r="Z12" s="2" t="s">
        <v>91</v>
      </c>
      <c r="AA12" s="2" t="s">
        <v>98</v>
      </c>
      <c r="AB12" s="2" t="s">
        <v>99</v>
      </c>
      <c r="AC12" s="2">
        <v>4</v>
      </c>
      <c r="AD12" s="2">
        <v>3</v>
      </c>
      <c r="AE12" s="2"/>
      <c r="AF12" s="2" t="s">
        <v>95</v>
      </c>
      <c r="AG12" s="2" t="s">
        <v>91</v>
      </c>
      <c r="AH12" s="2" t="s">
        <v>92</v>
      </c>
      <c r="AI12" s="2" t="s">
        <v>99</v>
      </c>
      <c r="AJ12" s="2">
        <v>5</v>
      </c>
      <c r="AK12" s="2">
        <v>5</v>
      </c>
      <c r="AL12" s="2"/>
      <c r="AM12" s="2" t="s">
        <v>95</v>
      </c>
      <c r="AN12" s="2" t="s">
        <v>91</v>
      </c>
      <c r="AO12" s="2" t="s">
        <v>92</v>
      </c>
      <c r="AP12" s="2" t="s">
        <v>101</v>
      </c>
      <c r="AQ12" s="2">
        <v>3</v>
      </c>
      <c r="AR12" s="2">
        <v>4</v>
      </c>
      <c r="AS12" s="2"/>
      <c r="AT12" s="2" t="s">
        <v>108</v>
      </c>
      <c r="AU12" s="2" t="s">
        <v>91</v>
      </c>
      <c r="AV12" s="2" t="s">
        <v>106</v>
      </c>
      <c r="AW12" s="2" t="s">
        <v>99</v>
      </c>
      <c r="AX12" s="2">
        <v>3</v>
      </c>
      <c r="AY12" s="2">
        <v>3</v>
      </c>
      <c r="AZ12" s="2"/>
      <c r="BA12" s="2" t="s">
        <v>95</v>
      </c>
      <c r="BB12" s="2" t="s">
        <v>91</v>
      </c>
      <c r="BC12" s="2" t="s">
        <v>92</v>
      </c>
      <c r="BD12" s="2" t="s">
        <v>99</v>
      </c>
      <c r="BE12" s="2">
        <v>4</v>
      </c>
      <c r="BF12" s="2">
        <v>4</v>
      </c>
      <c r="BG12" s="2"/>
      <c r="BH12" s="2" t="s">
        <v>108</v>
      </c>
      <c r="BI12" s="2" t="s">
        <v>91</v>
      </c>
      <c r="BJ12" s="2" t="s">
        <v>92</v>
      </c>
      <c r="BK12" s="2" t="s">
        <v>99</v>
      </c>
      <c r="BL12" s="2">
        <v>1</v>
      </c>
      <c r="BM12" s="2">
        <v>2</v>
      </c>
      <c r="BN12" s="2"/>
      <c r="BO12" s="2" t="s">
        <v>95</v>
      </c>
      <c r="BP12" s="2" t="s">
        <v>127</v>
      </c>
      <c r="BQ12" s="2" t="s">
        <v>92</v>
      </c>
      <c r="BR12" s="2" t="s">
        <v>99</v>
      </c>
      <c r="BS12" s="2">
        <v>1</v>
      </c>
      <c r="BT12" s="2">
        <v>1</v>
      </c>
      <c r="BU12" s="2"/>
      <c r="BV12" s="2" t="s">
        <v>95</v>
      </c>
      <c r="BW12" s="2" t="s">
        <v>91</v>
      </c>
      <c r="BX12" s="2" t="s">
        <v>92</v>
      </c>
      <c r="BY12" s="2" t="s">
        <v>99</v>
      </c>
      <c r="BZ12" s="2">
        <v>4</v>
      </c>
      <c r="CA12" s="2">
        <v>4</v>
      </c>
      <c r="CB12" s="2"/>
      <c r="CC12" s="2" t="s">
        <v>108</v>
      </c>
      <c r="CD12" s="2" t="s">
        <v>91</v>
      </c>
      <c r="CE12" s="2" t="s">
        <v>92</v>
      </c>
      <c r="CF12" s="2" t="s">
        <v>99</v>
      </c>
      <c r="CG12" s="2">
        <v>1</v>
      </c>
      <c r="CH12" s="2">
        <v>1</v>
      </c>
      <c r="CI12" s="2"/>
      <c r="CJ12" s="8">
        <v>0</v>
      </c>
      <c r="CK12" s="8">
        <v>1</v>
      </c>
    </row>
    <row r="13" spans="1:89" ht="22.5" customHeight="1" x14ac:dyDescent="0.15">
      <c r="A13" s="2" t="s">
        <v>183</v>
      </c>
      <c r="B13" s="2" t="s">
        <v>88</v>
      </c>
      <c r="C13" s="2" t="s">
        <v>89</v>
      </c>
      <c r="D13" s="2" t="s">
        <v>95</v>
      </c>
      <c r="E13" s="2" t="s">
        <v>91</v>
      </c>
      <c r="F13" s="2" t="s">
        <v>92</v>
      </c>
      <c r="G13" s="2" t="s">
        <v>93</v>
      </c>
      <c r="H13" s="2">
        <v>5</v>
      </c>
      <c r="I13" s="2">
        <v>3</v>
      </c>
      <c r="J13" s="2" t="s">
        <v>184</v>
      </c>
      <c r="K13" s="2" t="s">
        <v>90</v>
      </c>
      <c r="L13" s="2" t="s">
        <v>117</v>
      </c>
      <c r="M13" s="2" t="s">
        <v>92</v>
      </c>
      <c r="N13" s="2" t="s">
        <v>93</v>
      </c>
      <c r="O13" s="2">
        <v>5</v>
      </c>
      <c r="P13" s="2">
        <v>2</v>
      </c>
      <c r="Q13" s="2" t="s">
        <v>185</v>
      </c>
      <c r="R13" s="2" t="s">
        <v>95</v>
      </c>
      <c r="S13" s="2" t="s">
        <v>91</v>
      </c>
      <c r="T13" s="2" t="s">
        <v>92</v>
      </c>
      <c r="U13" s="2" t="s">
        <v>99</v>
      </c>
      <c r="V13" s="2">
        <v>3</v>
      </c>
      <c r="W13" s="2">
        <v>3</v>
      </c>
      <c r="X13" s="2" t="s">
        <v>186</v>
      </c>
      <c r="Y13" s="2" t="s">
        <v>95</v>
      </c>
      <c r="Z13" s="2" t="s">
        <v>127</v>
      </c>
      <c r="AA13" s="2" t="s">
        <v>92</v>
      </c>
      <c r="AB13" s="2" t="s">
        <v>93</v>
      </c>
      <c r="AC13" s="2">
        <v>2</v>
      </c>
      <c r="AD13" s="2">
        <v>1</v>
      </c>
      <c r="AE13" s="2" t="s">
        <v>187</v>
      </c>
      <c r="AF13" s="2" t="s">
        <v>95</v>
      </c>
      <c r="AG13" s="2" t="s">
        <v>91</v>
      </c>
      <c r="AH13" s="2" t="s">
        <v>92</v>
      </c>
      <c r="AI13" s="2" t="s">
        <v>93</v>
      </c>
      <c r="AJ13" s="2">
        <v>5</v>
      </c>
      <c r="AK13" s="2">
        <v>5</v>
      </c>
      <c r="AL13" s="2"/>
      <c r="AM13" s="2" t="s">
        <v>95</v>
      </c>
      <c r="AN13" s="2" t="s">
        <v>91</v>
      </c>
      <c r="AO13" s="2" t="s">
        <v>92</v>
      </c>
      <c r="AP13" s="2" t="s">
        <v>99</v>
      </c>
      <c r="AQ13" s="2">
        <v>4</v>
      </c>
      <c r="AR13" s="2">
        <v>4</v>
      </c>
      <c r="AS13" s="2" t="s">
        <v>188</v>
      </c>
      <c r="AT13" s="2" t="s">
        <v>108</v>
      </c>
      <c r="AU13" s="2" t="s">
        <v>91</v>
      </c>
      <c r="AV13" s="2" t="s">
        <v>106</v>
      </c>
      <c r="AW13" s="2" t="s">
        <v>93</v>
      </c>
      <c r="AX13" s="2">
        <v>4</v>
      </c>
      <c r="AY13" s="2">
        <v>4</v>
      </c>
      <c r="AZ13" s="2"/>
      <c r="BA13" s="2" t="s">
        <v>95</v>
      </c>
      <c r="BB13" s="2" t="s">
        <v>91</v>
      </c>
      <c r="BC13" s="2" t="s">
        <v>92</v>
      </c>
      <c r="BD13" s="2" t="s">
        <v>99</v>
      </c>
      <c r="BE13" s="2">
        <v>4</v>
      </c>
      <c r="BF13" s="2">
        <v>4</v>
      </c>
      <c r="BG13" s="2"/>
      <c r="BH13" s="2" t="s">
        <v>108</v>
      </c>
      <c r="BI13" s="2" t="s">
        <v>91</v>
      </c>
      <c r="BJ13" s="2" t="s">
        <v>92</v>
      </c>
      <c r="BK13" s="2" t="s">
        <v>93</v>
      </c>
      <c r="BL13" s="2">
        <v>3</v>
      </c>
      <c r="BM13" s="2">
        <v>4</v>
      </c>
      <c r="BN13" s="2"/>
      <c r="BO13" s="2" t="s">
        <v>108</v>
      </c>
      <c r="BP13" s="2" t="s">
        <v>91</v>
      </c>
      <c r="BQ13" s="2" t="s">
        <v>92</v>
      </c>
      <c r="BR13" s="2" t="s">
        <v>99</v>
      </c>
      <c r="BS13" s="2">
        <v>4</v>
      </c>
      <c r="BT13" s="2">
        <v>4</v>
      </c>
      <c r="BU13" s="2"/>
      <c r="BV13" s="2" t="s">
        <v>95</v>
      </c>
      <c r="BW13" s="2" t="s">
        <v>91</v>
      </c>
      <c r="BX13" s="2" t="s">
        <v>92</v>
      </c>
      <c r="BY13" s="2" t="s">
        <v>93</v>
      </c>
      <c r="BZ13" s="2">
        <v>4</v>
      </c>
      <c r="CA13" s="2">
        <v>4</v>
      </c>
      <c r="CB13" s="2"/>
      <c r="CC13" s="2" t="s">
        <v>95</v>
      </c>
      <c r="CD13" s="2" t="s">
        <v>91</v>
      </c>
      <c r="CE13" s="2" t="s">
        <v>92</v>
      </c>
      <c r="CF13" s="2" t="s">
        <v>93</v>
      </c>
      <c r="CG13" s="2">
        <v>3</v>
      </c>
      <c r="CH13" s="2">
        <v>3</v>
      </c>
      <c r="CI13" s="2"/>
      <c r="CJ13" s="8">
        <v>1</v>
      </c>
      <c r="CK13" s="8">
        <v>0</v>
      </c>
    </row>
    <row r="14" spans="1:89" ht="22.5" customHeight="1" x14ac:dyDescent="0.15">
      <c r="A14" s="2" t="s">
        <v>189</v>
      </c>
      <c r="B14" s="2" t="s">
        <v>88</v>
      </c>
      <c r="C14" s="2" t="s">
        <v>97</v>
      </c>
      <c r="D14" s="2" t="s">
        <v>95</v>
      </c>
      <c r="E14" s="2" t="s">
        <v>91</v>
      </c>
      <c r="F14" s="2" t="s">
        <v>92</v>
      </c>
      <c r="G14" s="2" t="s">
        <v>93</v>
      </c>
      <c r="H14" s="2">
        <v>5</v>
      </c>
      <c r="I14" s="2">
        <v>2</v>
      </c>
      <c r="J14" s="2"/>
      <c r="K14" s="2" t="s">
        <v>95</v>
      </c>
      <c r="L14" s="2" t="s">
        <v>91</v>
      </c>
      <c r="M14" s="2" t="s">
        <v>92</v>
      </c>
      <c r="N14" s="2" t="s">
        <v>93</v>
      </c>
      <c r="O14" s="2">
        <v>5</v>
      </c>
      <c r="P14" s="2">
        <v>2</v>
      </c>
      <c r="Q14" s="2" t="s">
        <v>190</v>
      </c>
      <c r="R14" s="2" t="s">
        <v>95</v>
      </c>
      <c r="S14" s="2" t="s">
        <v>91</v>
      </c>
      <c r="T14" s="2" t="s">
        <v>92</v>
      </c>
      <c r="U14" s="2" t="s">
        <v>99</v>
      </c>
      <c r="V14" s="2">
        <v>5</v>
      </c>
      <c r="W14" s="2">
        <v>4</v>
      </c>
      <c r="X14" s="2" t="s">
        <v>191</v>
      </c>
      <c r="Y14" s="2" t="s">
        <v>95</v>
      </c>
      <c r="Z14" s="2" t="s">
        <v>91</v>
      </c>
      <c r="AA14" s="2" t="s">
        <v>92</v>
      </c>
      <c r="AB14" s="2" t="s">
        <v>99</v>
      </c>
      <c r="AC14" s="2">
        <v>3</v>
      </c>
      <c r="AD14" s="2">
        <v>3</v>
      </c>
      <c r="AE14" s="2"/>
      <c r="AF14" s="2" t="s">
        <v>95</v>
      </c>
      <c r="AG14" s="2" t="s">
        <v>91</v>
      </c>
      <c r="AH14" s="2" t="s">
        <v>92</v>
      </c>
      <c r="AI14" s="2" t="s">
        <v>99</v>
      </c>
      <c r="AJ14" s="2">
        <v>5</v>
      </c>
      <c r="AK14" s="2">
        <v>4</v>
      </c>
      <c r="AL14" s="2"/>
      <c r="AM14" s="2" t="s">
        <v>108</v>
      </c>
      <c r="AN14" s="2" t="s">
        <v>91</v>
      </c>
      <c r="AO14" s="2" t="s">
        <v>92</v>
      </c>
      <c r="AP14" s="2" t="s">
        <v>99</v>
      </c>
      <c r="AQ14" s="2">
        <v>4</v>
      </c>
      <c r="AR14" s="2">
        <v>4</v>
      </c>
      <c r="AS14" s="2" t="s">
        <v>192</v>
      </c>
      <c r="AT14" s="2" t="s">
        <v>108</v>
      </c>
      <c r="AU14" s="2" t="s">
        <v>91</v>
      </c>
      <c r="AV14" s="2" t="s">
        <v>106</v>
      </c>
      <c r="AW14" s="2" t="s">
        <v>99</v>
      </c>
      <c r="AX14" s="2">
        <v>3</v>
      </c>
      <c r="AY14" s="2">
        <v>4</v>
      </c>
      <c r="AZ14" s="2" t="s">
        <v>193</v>
      </c>
      <c r="BA14" s="2" t="s">
        <v>95</v>
      </c>
      <c r="BB14" s="2" t="s">
        <v>91</v>
      </c>
      <c r="BC14" s="2" t="s">
        <v>92</v>
      </c>
      <c r="BD14" s="2" t="s">
        <v>99</v>
      </c>
      <c r="BE14" s="2">
        <v>4</v>
      </c>
      <c r="BF14" s="2">
        <v>4</v>
      </c>
      <c r="BG14" s="2"/>
      <c r="BH14" s="2" t="s">
        <v>108</v>
      </c>
      <c r="BI14" s="2" t="s">
        <v>91</v>
      </c>
      <c r="BJ14" s="2" t="s">
        <v>92</v>
      </c>
      <c r="BK14" s="2" t="s">
        <v>99</v>
      </c>
      <c r="BL14" s="2">
        <v>4</v>
      </c>
      <c r="BM14" s="2">
        <v>4</v>
      </c>
      <c r="BN14" s="2" t="s">
        <v>194</v>
      </c>
      <c r="BO14" s="2" t="s">
        <v>95</v>
      </c>
      <c r="BP14" s="2" t="s">
        <v>91</v>
      </c>
      <c r="BQ14" s="2" t="s">
        <v>92</v>
      </c>
      <c r="BR14" s="2" t="s">
        <v>99</v>
      </c>
      <c r="BS14" s="2">
        <v>4</v>
      </c>
      <c r="BT14" s="2">
        <v>4</v>
      </c>
      <c r="BU14" s="2"/>
      <c r="BV14" s="2" t="s">
        <v>95</v>
      </c>
      <c r="BW14" s="2" t="s">
        <v>91</v>
      </c>
      <c r="BX14" s="2" t="s">
        <v>92</v>
      </c>
      <c r="BY14" s="2" t="s">
        <v>93</v>
      </c>
      <c r="BZ14" s="2">
        <v>5</v>
      </c>
      <c r="CA14" s="2">
        <v>4</v>
      </c>
      <c r="CB14" s="2"/>
      <c r="CC14" s="2" t="s">
        <v>95</v>
      </c>
      <c r="CD14" s="2" t="s">
        <v>91</v>
      </c>
      <c r="CE14" s="2" t="s">
        <v>92</v>
      </c>
      <c r="CF14" s="2" t="s">
        <v>99</v>
      </c>
      <c r="CG14" s="2">
        <v>4</v>
      </c>
      <c r="CH14" s="2">
        <v>4</v>
      </c>
      <c r="CI14" s="2" t="s">
        <v>195</v>
      </c>
      <c r="CJ14" s="8">
        <v>0</v>
      </c>
      <c r="CK14" s="8">
        <v>1</v>
      </c>
    </row>
    <row r="15" spans="1:89" ht="22.5" customHeight="1" x14ac:dyDescent="0.15">
      <c r="A15" s="2" t="s">
        <v>196</v>
      </c>
      <c r="B15" s="2" t="s">
        <v>113</v>
      </c>
      <c r="C15" s="2" t="s">
        <v>108</v>
      </c>
      <c r="D15" s="2" t="s">
        <v>95</v>
      </c>
      <c r="E15" s="2" t="s">
        <v>91</v>
      </c>
      <c r="F15" s="2" t="s">
        <v>92</v>
      </c>
      <c r="G15" s="2" t="s">
        <v>93</v>
      </c>
      <c r="H15" s="2">
        <v>5</v>
      </c>
      <c r="I15" s="2">
        <v>5</v>
      </c>
      <c r="J15" s="2" t="s">
        <v>197</v>
      </c>
      <c r="K15" s="2" t="s">
        <v>90</v>
      </c>
      <c r="L15" s="2" t="s">
        <v>117</v>
      </c>
      <c r="M15" s="2" t="s">
        <v>92</v>
      </c>
      <c r="N15" s="2" t="s">
        <v>99</v>
      </c>
      <c r="O15" s="2">
        <v>5</v>
      </c>
      <c r="P15" s="2">
        <v>5</v>
      </c>
      <c r="Q15" s="2"/>
      <c r="R15" s="2" t="s">
        <v>108</v>
      </c>
      <c r="S15" s="2" t="s">
        <v>91</v>
      </c>
      <c r="T15" s="2" t="s">
        <v>98</v>
      </c>
      <c r="U15" s="2" t="s">
        <v>99</v>
      </c>
      <c r="V15" s="2">
        <v>5</v>
      </c>
      <c r="W15" s="2">
        <v>5</v>
      </c>
      <c r="X15" s="2" t="s">
        <v>198</v>
      </c>
      <c r="Y15" s="2" t="s">
        <v>95</v>
      </c>
      <c r="Z15" s="2" t="s">
        <v>91</v>
      </c>
      <c r="AA15" s="2" t="s">
        <v>92</v>
      </c>
      <c r="AB15" s="2" t="s">
        <v>99</v>
      </c>
      <c r="AC15" s="2">
        <v>3</v>
      </c>
      <c r="AD15" s="2">
        <v>3</v>
      </c>
      <c r="AE15" s="2" t="s">
        <v>199</v>
      </c>
      <c r="AF15" s="2" t="s">
        <v>95</v>
      </c>
      <c r="AG15" s="2" t="s">
        <v>91</v>
      </c>
      <c r="AH15" s="2" t="s">
        <v>92</v>
      </c>
      <c r="AI15" s="2" t="s">
        <v>99</v>
      </c>
      <c r="AJ15" s="2">
        <v>4</v>
      </c>
      <c r="AK15" s="2">
        <v>4</v>
      </c>
      <c r="AL15" s="2"/>
      <c r="AM15" s="2" t="s">
        <v>104</v>
      </c>
      <c r="AN15" s="2" t="s">
        <v>127</v>
      </c>
      <c r="AO15" s="2" t="s">
        <v>98</v>
      </c>
      <c r="AP15" s="2" t="s">
        <v>101</v>
      </c>
      <c r="AQ15" s="2">
        <v>3</v>
      </c>
      <c r="AR15" s="2">
        <v>2</v>
      </c>
      <c r="AS15" s="2" t="s">
        <v>200</v>
      </c>
      <c r="AT15" s="2" t="s">
        <v>108</v>
      </c>
      <c r="AU15" s="2" t="s">
        <v>91</v>
      </c>
      <c r="AV15" s="2" t="s">
        <v>106</v>
      </c>
      <c r="AW15" s="2" t="s">
        <v>101</v>
      </c>
      <c r="AX15" s="2">
        <v>5</v>
      </c>
      <c r="AY15" s="2">
        <v>5</v>
      </c>
      <c r="AZ15" s="2" t="s">
        <v>201</v>
      </c>
      <c r="BA15" s="2" t="s">
        <v>108</v>
      </c>
      <c r="BB15" s="2" t="s">
        <v>91</v>
      </c>
      <c r="BC15" s="2" t="s">
        <v>92</v>
      </c>
      <c r="BD15" s="2" t="s">
        <v>99</v>
      </c>
      <c r="BE15" s="2">
        <v>4</v>
      </c>
      <c r="BF15" s="2">
        <v>4</v>
      </c>
      <c r="BG15" s="2" t="s">
        <v>202</v>
      </c>
      <c r="BH15" s="2" t="s">
        <v>108</v>
      </c>
      <c r="BI15" s="2" t="s">
        <v>91</v>
      </c>
      <c r="BJ15" s="2" t="s">
        <v>92</v>
      </c>
      <c r="BK15" s="2" t="s">
        <v>99</v>
      </c>
      <c r="BL15" s="2">
        <v>4</v>
      </c>
      <c r="BM15" s="2">
        <v>4</v>
      </c>
      <c r="BN15" s="2"/>
      <c r="BO15" s="2" t="s">
        <v>108</v>
      </c>
      <c r="BP15" s="2" t="s">
        <v>91</v>
      </c>
      <c r="BQ15" s="2" t="s">
        <v>92</v>
      </c>
      <c r="BR15" s="2" t="s">
        <v>99</v>
      </c>
      <c r="BS15" s="2">
        <v>5</v>
      </c>
      <c r="BT15" s="2">
        <v>5</v>
      </c>
      <c r="BU15" s="2"/>
      <c r="BV15" s="2" t="s">
        <v>95</v>
      </c>
      <c r="BW15" s="2" t="s">
        <v>91</v>
      </c>
      <c r="BX15" s="2" t="s">
        <v>92</v>
      </c>
      <c r="BY15" s="2" t="s">
        <v>99</v>
      </c>
      <c r="BZ15" s="2">
        <v>4</v>
      </c>
      <c r="CA15" s="2">
        <v>4</v>
      </c>
      <c r="CB15" s="2" t="s">
        <v>203</v>
      </c>
      <c r="CC15" s="2" t="s">
        <v>108</v>
      </c>
      <c r="CD15" s="2" t="s">
        <v>91</v>
      </c>
      <c r="CE15" s="2" t="s">
        <v>92</v>
      </c>
      <c r="CF15" s="2" t="s">
        <v>99</v>
      </c>
      <c r="CG15" s="2">
        <v>4</v>
      </c>
      <c r="CH15" s="2">
        <v>3</v>
      </c>
      <c r="CI15" s="2" t="s">
        <v>204</v>
      </c>
      <c r="CJ15" s="8">
        <v>1</v>
      </c>
      <c r="CK15" s="8">
        <v>0</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69"/>
  <sheetViews>
    <sheetView topLeftCell="A125" zoomScale="163" workbookViewId="0">
      <selection activeCell="E128" sqref="E128:E169"/>
    </sheetView>
  </sheetViews>
  <sheetFormatPr baseColWidth="10" defaultColWidth="12.6640625" defaultRowHeight="15.75" customHeight="1" x14ac:dyDescent="0.15"/>
  <cols>
    <col min="6" max="6" width="16" bestFit="1" customWidth="1"/>
    <col min="7" max="7" width="12.6640625" style="20"/>
  </cols>
  <sheetData>
    <row r="1" spans="1:12" ht="13" x14ac:dyDescent="0.15">
      <c r="A1" s="5" t="s">
        <v>0</v>
      </c>
      <c r="B1" s="5" t="s">
        <v>1</v>
      </c>
      <c r="C1" s="5" t="s">
        <v>2</v>
      </c>
      <c r="D1" s="5" t="s">
        <v>205</v>
      </c>
      <c r="E1" s="5" t="s">
        <v>234</v>
      </c>
      <c r="F1" s="5" t="s">
        <v>225</v>
      </c>
      <c r="G1" s="10" t="s">
        <v>224</v>
      </c>
      <c r="H1" s="5" t="s">
        <v>226</v>
      </c>
      <c r="I1" s="5" t="s">
        <v>227</v>
      </c>
      <c r="J1" s="5" t="s">
        <v>228</v>
      </c>
      <c r="K1" s="5" t="s">
        <v>229</v>
      </c>
      <c r="L1" s="5" t="s">
        <v>206</v>
      </c>
    </row>
    <row r="2" spans="1:12" ht="13" x14ac:dyDescent="0.15">
      <c r="A2" s="3" t="s">
        <v>87</v>
      </c>
      <c r="B2" s="3" t="s">
        <v>88</v>
      </c>
      <c r="C2" s="3" t="s">
        <v>89</v>
      </c>
      <c r="D2" s="4">
        <v>1</v>
      </c>
      <c r="E2" s="4" t="s">
        <v>255</v>
      </c>
      <c r="F2" s="3" t="s">
        <v>90</v>
      </c>
      <c r="G2" s="19">
        <v>1</v>
      </c>
      <c r="H2" s="3" t="s">
        <v>92</v>
      </c>
      <c r="I2" s="3" t="s">
        <v>93</v>
      </c>
      <c r="J2" s="4">
        <v>3</v>
      </c>
      <c r="K2" s="4">
        <v>2</v>
      </c>
      <c r="L2" s="3" t="s">
        <v>94</v>
      </c>
    </row>
    <row r="3" spans="1:12" ht="13" x14ac:dyDescent="0.15">
      <c r="A3" s="3" t="s">
        <v>112</v>
      </c>
      <c r="B3" s="3" t="s">
        <v>113</v>
      </c>
      <c r="C3" s="3" t="s">
        <v>95</v>
      </c>
      <c r="D3" s="4">
        <v>1</v>
      </c>
      <c r="E3" s="4" t="s">
        <v>255</v>
      </c>
      <c r="F3" s="3" t="s">
        <v>95</v>
      </c>
      <c r="G3" s="19">
        <v>1</v>
      </c>
      <c r="H3" s="3" t="s">
        <v>92</v>
      </c>
      <c r="I3" s="3" t="s">
        <v>93</v>
      </c>
      <c r="J3" s="4">
        <v>5</v>
      </c>
      <c r="K3" s="4">
        <v>5</v>
      </c>
      <c r="L3" s="4">
        <v>0</v>
      </c>
    </row>
    <row r="4" spans="1:12" ht="13" x14ac:dyDescent="0.15">
      <c r="A4" s="3" t="s">
        <v>115</v>
      </c>
      <c r="B4" s="3" t="s">
        <v>113</v>
      </c>
      <c r="C4" s="3" t="s">
        <v>95</v>
      </c>
      <c r="D4" s="4">
        <v>1</v>
      </c>
      <c r="E4" s="4" t="s">
        <v>255</v>
      </c>
      <c r="F4" s="3" t="s">
        <v>95</v>
      </c>
      <c r="G4" s="19">
        <v>1</v>
      </c>
      <c r="H4" s="3" t="s">
        <v>92</v>
      </c>
      <c r="I4" s="3" t="s">
        <v>93</v>
      </c>
      <c r="J4" s="4">
        <v>3</v>
      </c>
      <c r="K4" s="4">
        <v>3</v>
      </c>
      <c r="L4" s="3" t="s">
        <v>116</v>
      </c>
    </row>
    <row r="5" spans="1:12" ht="13" x14ac:dyDescent="0.15">
      <c r="A5" s="3" t="s">
        <v>121</v>
      </c>
      <c r="B5" s="3" t="s">
        <v>122</v>
      </c>
      <c r="C5" s="3" t="s">
        <v>97</v>
      </c>
      <c r="D5" s="4">
        <v>1</v>
      </c>
      <c r="E5" s="4" t="s">
        <v>255</v>
      </c>
      <c r="F5" s="3" t="s">
        <v>90</v>
      </c>
      <c r="G5" s="19">
        <v>1</v>
      </c>
      <c r="H5" s="3" t="s">
        <v>92</v>
      </c>
      <c r="I5" s="3" t="s">
        <v>93</v>
      </c>
      <c r="J5" s="4">
        <v>3</v>
      </c>
      <c r="K5" s="4">
        <v>2</v>
      </c>
      <c r="L5" s="3" t="s">
        <v>207</v>
      </c>
    </row>
    <row r="6" spans="1:12" ht="13" x14ac:dyDescent="0.15">
      <c r="A6" s="3" t="s">
        <v>130</v>
      </c>
      <c r="B6" s="3" t="s">
        <v>88</v>
      </c>
      <c r="C6" s="3" t="s">
        <v>97</v>
      </c>
      <c r="D6" s="4">
        <v>1</v>
      </c>
      <c r="E6" s="4" t="s">
        <v>255</v>
      </c>
      <c r="F6" s="3" t="s">
        <v>95</v>
      </c>
      <c r="G6" s="19">
        <v>1</v>
      </c>
      <c r="H6" s="3" t="s">
        <v>92</v>
      </c>
      <c r="I6" s="3" t="s">
        <v>93</v>
      </c>
      <c r="J6" s="4">
        <v>5</v>
      </c>
      <c r="K6" s="4">
        <v>5</v>
      </c>
      <c r="L6" s="4">
        <v>0</v>
      </c>
    </row>
    <row r="7" spans="1:12" ht="13" x14ac:dyDescent="0.15">
      <c r="A7" s="3" t="s">
        <v>137</v>
      </c>
      <c r="B7" s="3" t="s">
        <v>113</v>
      </c>
      <c r="C7" s="3" t="s">
        <v>108</v>
      </c>
      <c r="D7" s="4">
        <v>1</v>
      </c>
      <c r="E7" s="4" t="s">
        <v>255</v>
      </c>
      <c r="F7" s="3" t="s">
        <v>95</v>
      </c>
      <c r="G7" s="19">
        <v>1</v>
      </c>
      <c r="H7" s="3" t="s">
        <v>92</v>
      </c>
      <c r="I7" s="3" t="s">
        <v>93</v>
      </c>
      <c r="J7" s="4">
        <v>4</v>
      </c>
      <c r="K7" s="4">
        <v>3</v>
      </c>
      <c r="L7" s="3" t="s">
        <v>138</v>
      </c>
    </row>
    <row r="8" spans="1:12" ht="27.75" customHeight="1" x14ac:dyDescent="0.15">
      <c r="A8" s="3" t="s">
        <v>145</v>
      </c>
      <c r="B8" s="3" t="s">
        <v>113</v>
      </c>
      <c r="C8" s="3" t="s">
        <v>146</v>
      </c>
      <c r="D8" s="4">
        <v>1</v>
      </c>
      <c r="E8" s="4" t="s">
        <v>255</v>
      </c>
      <c r="F8" s="3" t="s">
        <v>95</v>
      </c>
      <c r="G8" s="19">
        <v>1</v>
      </c>
      <c r="H8" s="3" t="s">
        <v>92</v>
      </c>
      <c r="I8" s="3" t="s">
        <v>93</v>
      </c>
      <c r="J8" s="4">
        <v>5</v>
      </c>
      <c r="K8" s="4">
        <v>3</v>
      </c>
      <c r="L8" s="3" t="s">
        <v>208</v>
      </c>
    </row>
    <row r="9" spans="1:12" ht="13" x14ac:dyDescent="0.15">
      <c r="A9" s="3" t="s">
        <v>156</v>
      </c>
      <c r="B9" s="3" t="s">
        <v>88</v>
      </c>
      <c r="C9" s="3" t="s">
        <v>97</v>
      </c>
      <c r="D9" s="4">
        <v>1</v>
      </c>
      <c r="E9" s="4" t="s">
        <v>255</v>
      </c>
      <c r="F9" s="3" t="s">
        <v>95</v>
      </c>
      <c r="G9" s="19">
        <v>1</v>
      </c>
      <c r="H9" s="3" t="s">
        <v>92</v>
      </c>
      <c r="I9" s="3" t="s">
        <v>93</v>
      </c>
      <c r="J9" s="4">
        <v>5</v>
      </c>
      <c r="K9" s="4">
        <v>2</v>
      </c>
      <c r="L9" s="4">
        <v>0</v>
      </c>
    </row>
    <row r="10" spans="1:12" ht="13" x14ac:dyDescent="0.15">
      <c r="A10" s="3" t="s">
        <v>164</v>
      </c>
      <c r="B10" s="3" t="s">
        <v>88</v>
      </c>
      <c r="C10" s="3" t="s">
        <v>97</v>
      </c>
      <c r="D10" s="4">
        <v>1</v>
      </c>
      <c r="E10" s="4" t="s">
        <v>255</v>
      </c>
      <c r="F10" s="3" t="s">
        <v>108</v>
      </c>
      <c r="G10" s="19">
        <v>1</v>
      </c>
      <c r="H10" s="3" t="s">
        <v>92</v>
      </c>
      <c r="I10" s="3" t="s">
        <v>93</v>
      </c>
      <c r="J10" s="4">
        <v>3</v>
      </c>
      <c r="K10" s="4">
        <v>3</v>
      </c>
      <c r="L10" s="3" t="s">
        <v>165</v>
      </c>
    </row>
    <row r="11" spans="1:12" ht="13" x14ac:dyDescent="0.15">
      <c r="A11" s="3" t="s">
        <v>174</v>
      </c>
      <c r="B11" s="3" t="s">
        <v>88</v>
      </c>
      <c r="C11" s="3" t="s">
        <v>89</v>
      </c>
      <c r="D11" s="4">
        <v>1</v>
      </c>
      <c r="E11" s="4" t="s">
        <v>255</v>
      </c>
      <c r="F11" s="3" t="s">
        <v>95</v>
      </c>
      <c r="G11" s="19">
        <v>1</v>
      </c>
      <c r="H11" s="3" t="s">
        <v>92</v>
      </c>
      <c r="I11" s="3" t="s">
        <v>93</v>
      </c>
      <c r="J11" s="4">
        <v>4</v>
      </c>
      <c r="K11" s="4">
        <v>3</v>
      </c>
      <c r="L11" s="3" t="s">
        <v>175</v>
      </c>
    </row>
    <row r="12" spans="1:12" ht="13" x14ac:dyDescent="0.15">
      <c r="A12" s="3" t="s">
        <v>181</v>
      </c>
      <c r="B12" s="3" t="s">
        <v>122</v>
      </c>
      <c r="C12" s="3" t="s">
        <v>108</v>
      </c>
      <c r="D12" s="4">
        <v>1</v>
      </c>
      <c r="E12" s="4" t="s">
        <v>255</v>
      </c>
      <c r="F12" s="3" t="s">
        <v>95</v>
      </c>
      <c r="G12" s="19">
        <v>1</v>
      </c>
      <c r="H12" s="3" t="s">
        <v>92</v>
      </c>
      <c r="I12" s="3" t="s">
        <v>93</v>
      </c>
      <c r="J12" s="4">
        <v>5</v>
      </c>
      <c r="K12" s="4">
        <v>4</v>
      </c>
      <c r="L12" s="4">
        <v>0</v>
      </c>
    </row>
    <row r="13" spans="1:12" ht="13" x14ac:dyDescent="0.15">
      <c r="A13" s="3" t="s">
        <v>183</v>
      </c>
      <c r="B13" s="3" t="s">
        <v>88</v>
      </c>
      <c r="C13" s="3" t="s">
        <v>89</v>
      </c>
      <c r="D13" s="4">
        <v>1</v>
      </c>
      <c r="E13" s="4" t="s">
        <v>255</v>
      </c>
      <c r="F13" s="3" t="s">
        <v>95</v>
      </c>
      <c r="G13" s="19">
        <v>1</v>
      </c>
      <c r="H13" s="3" t="s">
        <v>92</v>
      </c>
      <c r="I13" s="3" t="s">
        <v>93</v>
      </c>
      <c r="J13" s="4">
        <v>5</v>
      </c>
      <c r="K13" s="4">
        <v>3</v>
      </c>
      <c r="L13" s="3" t="s">
        <v>184</v>
      </c>
    </row>
    <row r="14" spans="1:12" ht="13" x14ac:dyDescent="0.15">
      <c r="A14" s="3" t="s">
        <v>189</v>
      </c>
      <c r="B14" s="3" t="s">
        <v>88</v>
      </c>
      <c r="C14" s="3" t="s">
        <v>97</v>
      </c>
      <c r="D14" s="4">
        <v>1</v>
      </c>
      <c r="E14" s="4" t="s">
        <v>255</v>
      </c>
      <c r="F14" s="3" t="s">
        <v>95</v>
      </c>
      <c r="G14" s="19">
        <v>1</v>
      </c>
      <c r="H14" s="3" t="s">
        <v>92</v>
      </c>
      <c r="I14" s="3" t="s">
        <v>93</v>
      </c>
      <c r="J14" s="4">
        <v>5</v>
      </c>
      <c r="K14" s="4">
        <v>2</v>
      </c>
      <c r="L14" s="4">
        <v>0</v>
      </c>
    </row>
    <row r="15" spans="1:12" ht="13" x14ac:dyDescent="0.15">
      <c r="A15" s="3" t="s">
        <v>196</v>
      </c>
      <c r="B15" s="3" t="s">
        <v>113</v>
      </c>
      <c r="C15" s="3" t="s">
        <v>108</v>
      </c>
      <c r="D15" s="4">
        <v>1</v>
      </c>
      <c r="E15" s="4" t="s">
        <v>255</v>
      </c>
      <c r="F15" s="3" t="s">
        <v>95</v>
      </c>
      <c r="G15" s="19">
        <v>1</v>
      </c>
      <c r="H15" s="3" t="s">
        <v>92</v>
      </c>
      <c r="I15" s="3" t="s">
        <v>93</v>
      </c>
      <c r="J15" s="4">
        <v>5</v>
      </c>
      <c r="K15" s="4">
        <v>5</v>
      </c>
      <c r="L15" s="3" t="s">
        <v>197</v>
      </c>
    </row>
    <row r="16" spans="1:12" ht="13" x14ac:dyDescent="0.15">
      <c r="A16" s="3" t="s">
        <v>87</v>
      </c>
      <c r="B16" s="3" t="s">
        <v>88</v>
      </c>
      <c r="C16" s="3" t="s">
        <v>89</v>
      </c>
      <c r="D16" s="4">
        <v>2</v>
      </c>
      <c r="E16" s="4" t="s">
        <v>255</v>
      </c>
      <c r="F16" s="3" t="s">
        <v>95</v>
      </c>
      <c r="G16" s="19">
        <v>1</v>
      </c>
      <c r="H16" s="3" t="s">
        <v>92</v>
      </c>
      <c r="I16" s="3" t="s">
        <v>93</v>
      </c>
      <c r="J16" s="4">
        <v>4</v>
      </c>
      <c r="K16" s="4">
        <v>2</v>
      </c>
      <c r="L16" s="3" t="s">
        <v>96</v>
      </c>
    </row>
    <row r="17" spans="1:12" ht="13" x14ac:dyDescent="0.15">
      <c r="A17" s="3" t="s">
        <v>112</v>
      </c>
      <c r="B17" s="3" t="s">
        <v>113</v>
      </c>
      <c r="C17" s="3" t="s">
        <v>95</v>
      </c>
      <c r="D17" s="4">
        <v>2</v>
      </c>
      <c r="E17" s="4" t="s">
        <v>255</v>
      </c>
      <c r="F17" s="3" t="s">
        <v>95</v>
      </c>
      <c r="G17" s="19">
        <v>1</v>
      </c>
      <c r="H17" s="3" t="s">
        <v>92</v>
      </c>
      <c r="I17" s="3" t="s">
        <v>93</v>
      </c>
      <c r="J17" s="4">
        <v>4</v>
      </c>
      <c r="K17" s="4">
        <v>4</v>
      </c>
      <c r="L17" s="4">
        <v>0</v>
      </c>
    </row>
    <row r="18" spans="1:12" ht="13" x14ac:dyDescent="0.15">
      <c r="A18" s="3" t="s">
        <v>115</v>
      </c>
      <c r="B18" s="3" t="s">
        <v>113</v>
      </c>
      <c r="C18" s="3" t="s">
        <v>95</v>
      </c>
      <c r="D18" s="4">
        <v>2</v>
      </c>
      <c r="E18" s="4" t="s">
        <v>255</v>
      </c>
      <c r="F18" s="3" t="s">
        <v>90</v>
      </c>
      <c r="G18" s="19">
        <v>0</v>
      </c>
      <c r="H18" s="3" t="s">
        <v>92</v>
      </c>
      <c r="I18" s="3" t="s">
        <v>93</v>
      </c>
      <c r="J18" s="4">
        <v>5</v>
      </c>
      <c r="K18" s="4">
        <v>5</v>
      </c>
      <c r="L18" s="3" t="s">
        <v>118</v>
      </c>
    </row>
    <row r="19" spans="1:12" ht="13" x14ac:dyDescent="0.15">
      <c r="A19" s="3" t="s">
        <v>121</v>
      </c>
      <c r="B19" s="3" t="s">
        <v>122</v>
      </c>
      <c r="C19" s="3" t="s">
        <v>97</v>
      </c>
      <c r="D19" s="4">
        <v>2</v>
      </c>
      <c r="E19" s="4" t="s">
        <v>255</v>
      </c>
      <c r="F19" s="3" t="s">
        <v>90</v>
      </c>
      <c r="G19" s="19">
        <v>0</v>
      </c>
      <c r="H19" s="3" t="s">
        <v>92</v>
      </c>
      <c r="I19" s="3" t="s">
        <v>93</v>
      </c>
      <c r="J19" s="4">
        <v>3</v>
      </c>
      <c r="K19" s="4">
        <v>2</v>
      </c>
      <c r="L19" s="3" t="s">
        <v>209</v>
      </c>
    </row>
    <row r="20" spans="1:12" ht="13" x14ac:dyDescent="0.15">
      <c r="A20" s="3" t="s">
        <v>130</v>
      </c>
      <c r="B20" s="3" t="s">
        <v>88</v>
      </c>
      <c r="C20" s="3" t="s">
        <v>97</v>
      </c>
      <c r="D20" s="4">
        <v>2</v>
      </c>
      <c r="E20" s="4" t="s">
        <v>255</v>
      </c>
      <c r="F20" s="3" t="s">
        <v>95</v>
      </c>
      <c r="G20" s="19">
        <v>1</v>
      </c>
      <c r="H20" s="3" t="s">
        <v>92</v>
      </c>
      <c r="I20" s="3" t="s">
        <v>93</v>
      </c>
      <c r="J20" s="4">
        <v>5</v>
      </c>
      <c r="K20" s="4">
        <v>5</v>
      </c>
      <c r="L20" s="4">
        <v>0</v>
      </c>
    </row>
    <row r="21" spans="1:12" ht="13" x14ac:dyDescent="0.15">
      <c r="A21" s="3" t="s">
        <v>137</v>
      </c>
      <c r="B21" s="3" t="s">
        <v>113</v>
      </c>
      <c r="C21" s="3" t="s">
        <v>108</v>
      </c>
      <c r="D21" s="4">
        <v>2</v>
      </c>
      <c r="E21" s="4" t="s">
        <v>255</v>
      </c>
      <c r="F21" s="3" t="s">
        <v>95</v>
      </c>
      <c r="G21" s="19">
        <v>0</v>
      </c>
      <c r="H21" s="3" t="s">
        <v>98</v>
      </c>
      <c r="I21" s="3" t="s">
        <v>93</v>
      </c>
      <c r="J21" s="4">
        <v>4</v>
      </c>
      <c r="K21" s="4">
        <v>2</v>
      </c>
      <c r="L21" s="3" t="s">
        <v>139</v>
      </c>
    </row>
    <row r="22" spans="1:12" ht="13" x14ac:dyDescent="0.15">
      <c r="A22" s="3" t="s">
        <v>145</v>
      </c>
      <c r="B22" s="3" t="s">
        <v>113</v>
      </c>
      <c r="C22" s="3" t="s">
        <v>146</v>
      </c>
      <c r="D22" s="4">
        <v>2</v>
      </c>
      <c r="E22" s="4" t="s">
        <v>255</v>
      </c>
      <c r="F22" s="3" t="s">
        <v>90</v>
      </c>
      <c r="G22" s="19">
        <v>1</v>
      </c>
      <c r="H22" s="3" t="s">
        <v>92</v>
      </c>
      <c r="I22" s="3" t="s">
        <v>93</v>
      </c>
      <c r="J22" s="4">
        <v>5</v>
      </c>
      <c r="K22" s="4">
        <v>3</v>
      </c>
      <c r="L22" s="3" t="s">
        <v>148</v>
      </c>
    </row>
    <row r="23" spans="1:12" ht="13" x14ac:dyDescent="0.15">
      <c r="A23" s="3" t="s">
        <v>156</v>
      </c>
      <c r="B23" s="3" t="s">
        <v>88</v>
      </c>
      <c r="C23" s="3" t="s">
        <v>97</v>
      </c>
      <c r="D23" s="4">
        <v>2</v>
      </c>
      <c r="E23" s="4" t="s">
        <v>255</v>
      </c>
      <c r="F23" s="3" t="s">
        <v>95</v>
      </c>
      <c r="G23" s="19">
        <v>0</v>
      </c>
      <c r="H23" s="3" t="s">
        <v>92</v>
      </c>
      <c r="I23" s="3" t="s">
        <v>93</v>
      </c>
      <c r="J23" s="4">
        <v>4</v>
      </c>
      <c r="K23" s="4">
        <v>4</v>
      </c>
      <c r="L23" s="4">
        <v>0</v>
      </c>
    </row>
    <row r="24" spans="1:12" ht="13" x14ac:dyDescent="0.15">
      <c r="A24" s="3" t="s">
        <v>164</v>
      </c>
      <c r="B24" s="3" t="s">
        <v>88</v>
      </c>
      <c r="C24" s="3" t="s">
        <v>97</v>
      </c>
      <c r="D24" s="4">
        <v>2</v>
      </c>
      <c r="E24" s="4" t="s">
        <v>255</v>
      </c>
      <c r="F24" s="3" t="s">
        <v>95</v>
      </c>
      <c r="G24" s="19">
        <v>1</v>
      </c>
      <c r="H24" s="3" t="s">
        <v>92</v>
      </c>
      <c r="I24" s="3" t="s">
        <v>93</v>
      </c>
      <c r="J24" s="4">
        <v>5</v>
      </c>
      <c r="K24" s="4">
        <v>5</v>
      </c>
      <c r="L24" s="3" t="s">
        <v>210</v>
      </c>
    </row>
    <row r="25" spans="1:12" ht="13" x14ac:dyDescent="0.15">
      <c r="A25" s="3" t="s">
        <v>174</v>
      </c>
      <c r="B25" s="3" t="s">
        <v>88</v>
      </c>
      <c r="C25" s="3" t="s">
        <v>89</v>
      </c>
      <c r="D25" s="4">
        <v>2</v>
      </c>
      <c r="E25" s="4" t="s">
        <v>255</v>
      </c>
      <c r="F25" s="3" t="s">
        <v>90</v>
      </c>
      <c r="G25" s="19">
        <v>1</v>
      </c>
      <c r="H25" s="3" t="s">
        <v>92</v>
      </c>
      <c r="I25" s="3" t="s">
        <v>99</v>
      </c>
      <c r="J25" s="4">
        <v>5</v>
      </c>
      <c r="K25" s="4">
        <v>4</v>
      </c>
      <c r="L25" s="4">
        <v>0</v>
      </c>
    </row>
    <row r="26" spans="1:12" ht="13" x14ac:dyDescent="0.15">
      <c r="A26" s="3" t="s">
        <v>181</v>
      </c>
      <c r="B26" s="3" t="s">
        <v>122</v>
      </c>
      <c r="C26" s="3" t="s">
        <v>108</v>
      </c>
      <c r="D26" s="4">
        <v>2</v>
      </c>
      <c r="E26" s="4" t="s">
        <v>255</v>
      </c>
      <c r="F26" s="3" t="s">
        <v>90</v>
      </c>
      <c r="G26" s="19">
        <v>0</v>
      </c>
      <c r="H26" s="3" t="s">
        <v>92</v>
      </c>
      <c r="I26" s="3" t="s">
        <v>93</v>
      </c>
      <c r="J26" s="4">
        <v>5</v>
      </c>
      <c r="K26" s="4">
        <v>3</v>
      </c>
      <c r="L26" s="3" t="s">
        <v>211</v>
      </c>
    </row>
    <row r="27" spans="1:12" ht="13" x14ac:dyDescent="0.15">
      <c r="A27" s="3" t="s">
        <v>183</v>
      </c>
      <c r="B27" s="3" t="s">
        <v>88</v>
      </c>
      <c r="C27" s="3" t="s">
        <v>89</v>
      </c>
      <c r="D27" s="4">
        <v>2</v>
      </c>
      <c r="E27" s="4" t="s">
        <v>255</v>
      </c>
      <c r="F27" s="3" t="s">
        <v>90</v>
      </c>
      <c r="G27" s="19">
        <v>0</v>
      </c>
      <c r="H27" s="3" t="s">
        <v>92</v>
      </c>
      <c r="I27" s="3" t="s">
        <v>93</v>
      </c>
      <c r="J27" s="4">
        <v>5</v>
      </c>
      <c r="K27" s="4">
        <v>2</v>
      </c>
      <c r="L27" s="3" t="s">
        <v>185</v>
      </c>
    </row>
    <row r="28" spans="1:12" ht="13" x14ac:dyDescent="0.15">
      <c r="A28" s="3" t="s">
        <v>189</v>
      </c>
      <c r="B28" s="3" t="s">
        <v>88</v>
      </c>
      <c r="C28" s="3" t="s">
        <v>97</v>
      </c>
      <c r="D28" s="4">
        <v>2</v>
      </c>
      <c r="E28" s="4" t="s">
        <v>255</v>
      </c>
      <c r="F28" s="3" t="s">
        <v>95</v>
      </c>
      <c r="G28" s="19">
        <v>1</v>
      </c>
      <c r="H28" s="3" t="s">
        <v>92</v>
      </c>
      <c r="I28" s="3" t="s">
        <v>93</v>
      </c>
      <c r="J28" s="4">
        <v>5</v>
      </c>
      <c r="K28" s="4">
        <v>2</v>
      </c>
      <c r="L28" s="3" t="s">
        <v>190</v>
      </c>
    </row>
    <row r="29" spans="1:12" ht="13" x14ac:dyDescent="0.15">
      <c r="A29" s="3" t="s">
        <v>196</v>
      </c>
      <c r="B29" s="3" t="s">
        <v>113</v>
      </c>
      <c r="C29" s="3" t="s">
        <v>108</v>
      </c>
      <c r="D29" s="4">
        <v>2</v>
      </c>
      <c r="E29" s="4" t="s">
        <v>255</v>
      </c>
      <c r="F29" s="3" t="s">
        <v>90</v>
      </c>
      <c r="G29" s="19">
        <v>0</v>
      </c>
      <c r="H29" s="3" t="s">
        <v>92</v>
      </c>
      <c r="I29" s="3" t="s">
        <v>99</v>
      </c>
      <c r="J29" s="4">
        <v>5</v>
      </c>
      <c r="K29" s="4">
        <v>5</v>
      </c>
      <c r="L29" s="4">
        <v>0</v>
      </c>
    </row>
    <row r="30" spans="1:12" ht="13" x14ac:dyDescent="0.15">
      <c r="A30" s="3" t="s">
        <v>87</v>
      </c>
      <c r="B30" s="3" t="s">
        <v>88</v>
      </c>
      <c r="C30" s="3" t="s">
        <v>89</v>
      </c>
      <c r="D30" s="4">
        <v>3</v>
      </c>
      <c r="E30" s="4" t="s">
        <v>255</v>
      </c>
      <c r="F30" s="3" t="s">
        <v>97</v>
      </c>
      <c r="G30" s="19">
        <v>1</v>
      </c>
      <c r="H30" s="3" t="s">
        <v>98</v>
      </c>
      <c r="I30" s="3" t="s">
        <v>99</v>
      </c>
      <c r="J30" s="4">
        <v>3</v>
      </c>
      <c r="K30" s="4">
        <v>3</v>
      </c>
      <c r="L30" s="3" t="s">
        <v>100</v>
      </c>
    </row>
    <row r="31" spans="1:12" ht="13" x14ac:dyDescent="0.15">
      <c r="A31" s="3" t="s">
        <v>112</v>
      </c>
      <c r="B31" s="3" t="s">
        <v>113</v>
      </c>
      <c r="C31" s="3" t="s">
        <v>95</v>
      </c>
      <c r="D31" s="4">
        <v>3</v>
      </c>
      <c r="E31" s="4" t="s">
        <v>255</v>
      </c>
      <c r="F31" s="3" t="s">
        <v>108</v>
      </c>
      <c r="G31" s="19">
        <v>1</v>
      </c>
      <c r="H31" s="3" t="s">
        <v>92</v>
      </c>
      <c r="I31" s="3" t="s">
        <v>99</v>
      </c>
      <c r="J31" s="4">
        <v>3</v>
      </c>
      <c r="K31" s="4">
        <v>3</v>
      </c>
      <c r="L31" s="4">
        <v>0</v>
      </c>
    </row>
    <row r="32" spans="1:12" ht="13" x14ac:dyDescent="0.15">
      <c r="A32" s="3" t="s">
        <v>115</v>
      </c>
      <c r="B32" s="3" t="s">
        <v>113</v>
      </c>
      <c r="C32" s="3" t="s">
        <v>95</v>
      </c>
      <c r="D32" s="4">
        <v>3</v>
      </c>
      <c r="E32" s="4" t="s">
        <v>255</v>
      </c>
      <c r="F32" s="3" t="s">
        <v>95</v>
      </c>
      <c r="G32" s="19">
        <v>1</v>
      </c>
      <c r="H32" s="3" t="s">
        <v>92</v>
      </c>
      <c r="I32" s="3" t="s">
        <v>101</v>
      </c>
      <c r="J32" s="4">
        <v>3</v>
      </c>
      <c r="K32" s="4">
        <v>3</v>
      </c>
      <c r="L32" s="4">
        <v>0</v>
      </c>
    </row>
    <row r="33" spans="1:12" ht="13" x14ac:dyDescent="0.15">
      <c r="A33" s="3" t="s">
        <v>121</v>
      </c>
      <c r="B33" s="3" t="s">
        <v>122</v>
      </c>
      <c r="C33" s="3" t="s">
        <v>97</v>
      </c>
      <c r="D33" s="4">
        <v>3</v>
      </c>
      <c r="E33" s="4" t="s">
        <v>255</v>
      </c>
      <c r="F33" s="3" t="s">
        <v>97</v>
      </c>
      <c r="G33" s="19">
        <v>1</v>
      </c>
      <c r="H33" s="3" t="s">
        <v>92</v>
      </c>
      <c r="I33" s="3" t="s">
        <v>99</v>
      </c>
      <c r="J33" s="4">
        <v>3</v>
      </c>
      <c r="K33" s="4">
        <v>3</v>
      </c>
      <c r="L33" s="3" t="s">
        <v>212</v>
      </c>
    </row>
    <row r="34" spans="1:12" ht="13" x14ac:dyDescent="0.15">
      <c r="A34" s="3" t="s">
        <v>130</v>
      </c>
      <c r="B34" s="3" t="s">
        <v>88</v>
      </c>
      <c r="C34" s="3" t="s">
        <v>97</v>
      </c>
      <c r="D34" s="4">
        <v>3</v>
      </c>
      <c r="E34" s="4" t="s">
        <v>255</v>
      </c>
      <c r="F34" s="3" t="s">
        <v>108</v>
      </c>
      <c r="G34" s="19">
        <v>1</v>
      </c>
      <c r="H34" s="3" t="s">
        <v>92</v>
      </c>
      <c r="I34" s="3" t="s">
        <v>101</v>
      </c>
      <c r="J34" s="4">
        <v>5</v>
      </c>
      <c r="K34" s="4">
        <v>5</v>
      </c>
      <c r="L34" s="4">
        <v>0</v>
      </c>
    </row>
    <row r="35" spans="1:12" ht="13" x14ac:dyDescent="0.15">
      <c r="A35" s="3" t="s">
        <v>137</v>
      </c>
      <c r="B35" s="3" t="s">
        <v>113</v>
      </c>
      <c r="C35" s="3" t="s">
        <v>108</v>
      </c>
      <c r="D35" s="4">
        <v>3</v>
      </c>
      <c r="E35" s="4" t="s">
        <v>255</v>
      </c>
      <c r="F35" s="3" t="s">
        <v>108</v>
      </c>
      <c r="G35" s="19">
        <v>1</v>
      </c>
      <c r="H35" s="3" t="s">
        <v>92</v>
      </c>
      <c r="I35" s="3" t="s">
        <v>99</v>
      </c>
      <c r="J35" s="4">
        <v>4</v>
      </c>
      <c r="K35" s="4">
        <v>4</v>
      </c>
      <c r="L35" s="4">
        <v>0</v>
      </c>
    </row>
    <row r="36" spans="1:12" ht="13" x14ac:dyDescent="0.15">
      <c r="A36" s="3" t="s">
        <v>145</v>
      </c>
      <c r="B36" s="3" t="s">
        <v>113</v>
      </c>
      <c r="C36" s="3" t="s">
        <v>146</v>
      </c>
      <c r="D36" s="4">
        <v>3</v>
      </c>
      <c r="E36" s="4" t="s">
        <v>255</v>
      </c>
      <c r="F36" s="3" t="s">
        <v>97</v>
      </c>
      <c r="G36" s="19">
        <v>1</v>
      </c>
      <c r="H36" s="3" t="s">
        <v>92</v>
      </c>
      <c r="I36" s="3" t="s">
        <v>101</v>
      </c>
      <c r="J36" s="4">
        <v>4</v>
      </c>
      <c r="K36" s="4">
        <v>4</v>
      </c>
      <c r="L36" s="3" t="s">
        <v>149</v>
      </c>
    </row>
    <row r="37" spans="1:12" ht="13" x14ac:dyDescent="0.15">
      <c r="A37" s="3" t="s">
        <v>156</v>
      </c>
      <c r="B37" s="3" t="s">
        <v>88</v>
      </c>
      <c r="C37" s="3" t="s">
        <v>97</v>
      </c>
      <c r="D37" s="4">
        <v>3</v>
      </c>
      <c r="E37" s="4" t="s">
        <v>255</v>
      </c>
      <c r="F37" s="3" t="s">
        <v>108</v>
      </c>
      <c r="G37" s="19">
        <v>1</v>
      </c>
      <c r="H37" s="3" t="s">
        <v>92</v>
      </c>
      <c r="I37" s="3" t="s">
        <v>99</v>
      </c>
      <c r="J37" s="4">
        <v>5</v>
      </c>
      <c r="K37" s="4">
        <v>5</v>
      </c>
      <c r="L37" s="3" t="s">
        <v>157</v>
      </c>
    </row>
    <row r="38" spans="1:12" ht="13" x14ac:dyDescent="0.15">
      <c r="A38" s="3" t="s">
        <v>164</v>
      </c>
      <c r="B38" s="3" t="s">
        <v>88</v>
      </c>
      <c r="C38" s="3" t="s">
        <v>97</v>
      </c>
      <c r="D38" s="4">
        <v>3</v>
      </c>
      <c r="E38" s="4" t="s">
        <v>255</v>
      </c>
      <c r="F38" s="3" t="s">
        <v>108</v>
      </c>
      <c r="G38" s="19">
        <v>1</v>
      </c>
      <c r="H38" s="3" t="s">
        <v>98</v>
      </c>
      <c r="I38" s="3" t="s">
        <v>101</v>
      </c>
      <c r="J38" s="4">
        <v>5</v>
      </c>
      <c r="K38" s="4">
        <v>5</v>
      </c>
      <c r="L38" s="3" t="s">
        <v>167</v>
      </c>
    </row>
    <row r="39" spans="1:12" ht="13" x14ac:dyDescent="0.15">
      <c r="A39" s="3" t="s">
        <v>174</v>
      </c>
      <c r="B39" s="3" t="s">
        <v>88</v>
      </c>
      <c r="C39" s="3" t="s">
        <v>89</v>
      </c>
      <c r="D39" s="4">
        <v>3</v>
      </c>
      <c r="E39" s="4" t="s">
        <v>255</v>
      </c>
      <c r="F39" s="3" t="s">
        <v>108</v>
      </c>
      <c r="G39" s="19">
        <v>1</v>
      </c>
      <c r="H39" s="3" t="s">
        <v>98</v>
      </c>
      <c r="I39" s="3" t="s">
        <v>101</v>
      </c>
      <c r="J39" s="4">
        <v>2</v>
      </c>
      <c r="K39" s="4">
        <v>1</v>
      </c>
      <c r="L39" s="3" t="s">
        <v>176</v>
      </c>
    </row>
    <row r="40" spans="1:12" ht="13" x14ac:dyDescent="0.15">
      <c r="A40" s="3" t="s">
        <v>181</v>
      </c>
      <c r="B40" s="3" t="s">
        <v>122</v>
      </c>
      <c r="C40" s="3" t="s">
        <v>108</v>
      </c>
      <c r="D40" s="4">
        <v>3</v>
      </c>
      <c r="E40" s="4" t="s">
        <v>255</v>
      </c>
      <c r="F40" s="3" t="s">
        <v>97</v>
      </c>
      <c r="G40" s="19">
        <v>1</v>
      </c>
      <c r="H40" s="3" t="s">
        <v>92</v>
      </c>
      <c r="I40" s="3" t="s">
        <v>99</v>
      </c>
      <c r="J40" s="4">
        <v>4</v>
      </c>
      <c r="K40" s="4">
        <v>3</v>
      </c>
      <c r="L40" s="4">
        <v>0</v>
      </c>
    </row>
    <row r="41" spans="1:12" ht="13" x14ac:dyDescent="0.15">
      <c r="A41" s="3" t="s">
        <v>183</v>
      </c>
      <c r="B41" s="3" t="s">
        <v>88</v>
      </c>
      <c r="C41" s="3" t="s">
        <v>89</v>
      </c>
      <c r="D41" s="4">
        <v>3</v>
      </c>
      <c r="E41" s="4" t="s">
        <v>255</v>
      </c>
      <c r="F41" s="3" t="s">
        <v>95</v>
      </c>
      <c r="G41" s="19">
        <v>1</v>
      </c>
      <c r="H41" s="3" t="s">
        <v>92</v>
      </c>
      <c r="I41" s="3" t="s">
        <v>99</v>
      </c>
      <c r="J41" s="4">
        <v>3</v>
      </c>
      <c r="K41" s="4">
        <v>3</v>
      </c>
      <c r="L41" s="3" t="s">
        <v>186</v>
      </c>
    </row>
    <row r="42" spans="1:12" ht="13" x14ac:dyDescent="0.15">
      <c r="A42" s="3" t="s">
        <v>189</v>
      </c>
      <c r="B42" s="3" t="s">
        <v>88</v>
      </c>
      <c r="C42" s="3" t="s">
        <v>97</v>
      </c>
      <c r="D42" s="4">
        <v>3</v>
      </c>
      <c r="E42" s="4" t="s">
        <v>255</v>
      </c>
      <c r="F42" s="3" t="s">
        <v>95</v>
      </c>
      <c r="G42" s="19">
        <v>1</v>
      </c>
      <c r="H42" s="3" t="s">
        <v>92</v>
      </c>
      <c r="I42" s="3" t="s">
        <v>99</v>
      </c>
      <c r="J42" s="4">
        <v>5</v>
      </c>
      <c r="K42" s="4">
        <v>4</v>
      </c>
      <c r="L42" s="3" t="s">
        <v>191</v>
      </c>
    </row>
    <row r="43" spans="1:12" ht="13" x14ac:dyDescent="0.15">
      <c r="A43" s="3" t="s">
        <v>196</v>
      </c>
      <c r="B43" s="3" t="s">
        <v>113</v>
      </c>
      <c r="C43" s="3" t="s">
        <v>108</v>
      </c>
      <c r="D43" s="4">
        <v>3</v>
      </c>
      <c r="E43" s="4" t="s">
        <v>255</v>
      </c>
      <c r="F43" s="3" t="s">
        <v>108</v>
      </c>
      <c r="G43" s="19">
        <v>1</v>
      </c>
      <c r="H43" s="3" t="s">
        <v>98</v>
      </c>
      <c r="I43" s="3" t="s">
        <v>99</v>
      </c>
      <c r="J43" s="4">
        <v>5</v>
      </c>
      <c r="K43" s="4">
        <v>5</v>
      </c>
      <c r="L43" s="3" t="s">
        <v>198</v>
      </c>
    </row>
    <row r="44" spans="1:12" ht="13" x14ac:dyDescent="0.15">
      <c r="A44" s="3" t="s">
        <v>87</v>
      </c>
      <c r="B44" s="3" t="s">
        <v>88</v>
      </c>
      <c r="C44" s="3" t="s">
        <v>89</v>
      </c>
      <c r="D44" s="4">
        <v>4</v>
      </c>
      <c r="E44" s="4" t="s">
        <v>255</v>
      </c>
      <c r="F44" s="3" t="s">
        <v>97</v>
      </c>
      <c r="G44" s="19">
        <v>1</v>
      </c>
      <c r="H44" s="3" t="s">
        <v>98</v>
      </c>
      <c r="I44" s="3" t="s">
        <v>101</v>
      </c>
      <c r="J44" s="4">
        <v>3</v>
      </c>
      <c r="K44" s="4">
        <v>3</v>
      </c>
      <c r="L44" s="3" t="s">
        <v>102</v>
      </c>
    </row>
    <row r="45" spans="1:12" ht="13" x14ac:dyDescent="0.15">
      <c r="A45" s="3" t="s">
        <v>112</v>
      </c>
      <c r="B45" s="3" t="s">
        <v>113</v>
      </c>
      <c r="C45" s="3" t="s">
        <v>95</v>
      </c>
      <c r="D45" s="4">
        <v>4</v>
      </c>
      <c r="E45" s="4" t="s">
        <v>255</v>
      </c>
      <c r="F45" s="3" t="s">
        <v>95</v>
      </c>
      <c r="G45" s="19">
        <v>1</v>
      </c>
      <c r="H45" s="3" t="s">
        <v>92</v>
      </c>
      <c r="I45" s="3" t="s">
        <v>99</v>
      </c>
      <c r="J45" s="4">
        <v>4</v>
      </c>
      <c r="K45" s="4">
        <v>5</v>
      </c>
      <c r="L45" s="4">
        <v>0</v>
      </c>
    </row>
    <row r="46" spans="1:12" ht="13" x14ac:dyDescent="0.15">
      <c r="A46" s="3" t="s">
        <v>115</v>
      </c>
      <c r="B46" s="3" t="s">
        <v>113</v>
      </c>
      <c r="C46" s="3" t="s">
        <v>95</v>
      </c>
      <c r="D46" s="4">
        <v>4</v>
      </c>
      <c r="E46" s="4" t="s">
        <v>255</v>
      </c>
      <c r="F46" s="3" t="s">
        <v>95</v>
      </c>
      <c r="G46" s="19">
        <v>1</v>
      </c>
      <c r="H46" s="3" t="s">
        <v>92</v>
      </c>
      <c r="I46" s="3" t="s">
        <v>99</v>
      </c>
      <c r="J46" s="4">
        <v>4</v>
      </c>
      <c r="K46" s="4">
        <v>4</v>
      </c>
      <c r="L46" s="4">
        <v>0</v>
      </c>
    </row>
    <row r="47" spans="1:12" ht="13" x14ac:dyDescent="0.15">
      <c r="A47" s="3" t="s">
        <v>121</v>
      </c>
      <c r="B47" s="3" t="s">
        <v>122</v>
      </c>
      <c r="C47" s="3" t="s">
        <v>97</v>
      </c>
      <c r="D47" s="4">
        <v>4</v>
      </c>
      <c r="E47" s="4" t="s">
        <v>255</v>
      </c>
      <c r="F47" s="3" t="s">
        <v>95</v>
      </c>
      <c r="G47" s="19">
        <v>1</v>
      </c>
      <c r="H47" s="3" t="s">
        <v>92</v>
      </c>
      <c r="I47" s="3" t="s">
        <v>99</v>
      </c>
      <c r="J47" s="4">
        <v>2</v>
      </c>
      <c r="K47" s="4">
        <v>3</v>
      </c>
      <c r="L47" s="3" t="s">
        <v>213</v>
      </c>
    </row>
    <row r="48" spans="1:12" ht="13" x14ac:dyDescent="0.15">
      <c r="A48" s="3" t="s">
        <v>130</v>
      </c>
      <c r="B48" s="3" t="s">
        <v>88</v>
      </c>
      <c r="C48" s="3" t="s">
        <v>97</v>
      </c>
      <c r="D48" s="4">
        <v>4</v>
      </c>
      <c r="E48" s="4" t="s">
        <v>255</v>
      </c>
      <c r="F48" s="3" t="s">
        <v>97</v>
      </c>
      <c r="G48" s="19">
        <v>1</v>
      </c>
      <c r="H48" s="3" t="s">
        <v>98</v>
      </c>
      <c r="I48" s="3" t="s">
        <v>99</v>
      </c>
      <c r="J48" s="4">
        <v>3</v>
      </c>
      <c r="K48" s="4">
        <v>3</v>
      </c>
      <c r="L48" s="3" t="s">
        <v>214</v>
      </c>
    </row>
    <row r="49" spans="1:12" ht="13" x14ac:dyDescent="0.15">
      <c r="A49" s="3" t="s">
        <v>137</v>
      </c>
      <c r="B49" s="3" t="s">
        <v>113</v>
      </c>
      <c r="C49" s="3" t="s">
        <v>108</v>
      </c>
      <c r="D49" s="4">
        <v>4</v>
      </c>
      <c r="E49" s="4" t="s">
        <v>255</v>
      </c>
      <c r="F49" s="3" t="s">
        <v>95</v>
      </c>
      <c r="G49" s="19">
        <v>1</v>
      </c>
      <c r="H49" s="3" t="s">
        <v>92</v>
      </c>
      <c r="I49" s="3" t="s">
        <v>101</v>
      </c>
      <c r="J49" s="4">
        <v>1</v>
      </c>
      <c r="K49" s="4">
        <v>2</v>
      </c>
      <c r="L49" s="3" t="s">
        <v>140</v>
      </c>
    </row>
    <row r="50" spans="1:12" ht="13" x14ac:dyDescent="0.15">
      <c r="A50" s="3" t="s">
        <v>145</v>
      </c>
      <c r="B50" s="3" t="s">
        <v>113</v>
      </c>
      <c r="C50" s="3" t="s">
        <v>146</v>
      </c>
      <c r="D50" s="4">
        <v>4</v>
      </c>
      <c r="E50" s="4" t="s">
        <v>255</v>
      </c>
      <c r="F50" s="3" t="s">
        <v>95</v>
      </c>
      <c r="G50" s="19">
        <v>1</v>
      </c>
      <c r="H50" s="3" t="s">
        <v>98</v>
      </c>
      <c r="I50" s="3" t="s">
        <v>99</v>
      </c>
      <c r="J50" s="4">
        <v>2</v>
      </c>
      <c r="K50" s="4">
        <v>3</v>
      </c>
      <c r="L50" s="3" t="s">
        <v>215</v>
      </c>
    </row>
    <row r="51" spans="1:12" ht="13" x14ac:dyDescent="0.15">
      <c r="A51" s="3" t="s">
        <v>156</v>
      </c>
      <c r="B51" s="3" t="s">
        <v>88</v>
      </c>
      <c r="C51" s="3" t="s">
        <v>97</v>
      </c>
      <c r="D51" s="4">
        <v>4</v>
      </c>
      <c r="E51" s="4" t="s">
        <v>255</v>
      </c>
      <c r="F51" s="3" t="s">
        <v>95</v>
      </c>
      <c r="G51" s="19">
        <v>1</v>
      </c>
      <c r="H51" s="3" t="s">
        <v>98</v>
      </c>
      <c r="I51" s="3" t="s">
        <v>93</v>
      </c>
      <c r="J51" s="4">
        <v>5</v>
      </c>
      <c r="K51" s="4">
        <v>5</v>
      </c>
      <c r="L51" s="3" t="s">
        <v>216</v>
      </c>
    </row>
    <row r="52" spans="1:12" ht="13" x14ac:dyDescent="0.15">
      <c r="A52" s="3" t="s">
        <v>164</v>
      </c>
      <c r="B52" s="3" t="s">
        <v>88</v>
      </c>
      <c r="C52" s="3" t="s">
        <v>97</v>
      </c>
      <c r="D52" s="4">
        <v>4</v>
      </c>
      <c r="E52" s="4" t="s">
        <v>255</v>
      </c>
      <c r="F52" s="3" t="s">
        <v>95</v>
      </c>
      <c r="G52" s="19">
        <v>1</v>
      </c>
      <c r="H52" s="3" t="s">
        <v>92</v>
      </c>
      <c r="I52" s="3" t="s">
        <v>99</v>
      </c>
      <c r="J52" s="4">
        <v>4</v>
      </c>
      <c r="K52" s="4">
        <v>5</v>
      </c>
      <c r="L52" s="3" t="s">
        <v>168</v>
      </c>
    </row>
    <row r="53" spans="1:12" ht="13" x14ac:dyDescent="0.15">
      <c r="A53" s="3" t="s">
        <v>174</v>
      </c>
      <c r="B53" s="3" t="s">
        <v>88</v>
      </c>
      <c r="C53" s="3" t="s">
        <v>89</v>
      </c>
      <c r="D53" s="4">
        <v>4</v>
      </c>
      <c r="E53" s="4" t="s">
        <v>255</v>
      </c>
      <c r="F53" s="3" t="s">
        <v>108</v>
      </c>
      <c r="G53" s="19">
        <v>1</v>
      </c>
      <c r="H53" s="3" t="s">
        <v>98</v>
      </c>
      <c r="I53" s="3" t="s">
        <v>99</v>
      </c>
      <c r="J53" s="4">
        <v>1</v>
      </c>
      <c r="K53" s="4">
        <v>2</v>
      </c>
      <c r="L53" s="3" t="s">
        <v>177</v>
      </c>
    </row>
    <row r="54" spans="1:12" ht="13" x14ac:dyDescent="0.15">
      <c r="A54" s="3" t="s">
        <v>181</v>
      </c>
      <c r="B54" s="3" t="s">
        <v>122</v>
      </c>
      <c r="C54" s="3" t="s">
        <v>108</v>
      </c>
      <c r="D54" s="4">
        <v>4</v>
      </c>
      <c r="E54" s="4" t="s">
        <v>255</v>
      </c>
      <c r="F54" s="3" t="s">
        <v>95</v>
      </c>
      <c r="G54" s="19">
        <v>1</v>
      </c>
      <c r="H54" s="3" t="s">
        <v>98</v>
      </c>
      <c r="I54" s="3" t="s">
        <v>99</v>
      </c>
      <c r="J54" s="4">
        <v>4</v>
      </c>
      <c r="K54" s="4">
        <v>3</v>
      </c>
      <c r="L54" s="4">
        <v>0</v>
      </c>
    </row>
    <row r="55" spans="1:12" ht="13" x14ac:dyDescent="0.15">
      <c r="A55" s="3" t="s">
        <v>183</v>
      </c>
      <c r="B55" s="3" t="s">
        <v>88</v>
      </c>
      <c r="C55" s="3" t="s">
        <v>89</v>
      </c>
      <c r="D55" s="4">
        <v>4</v>
      </c>
      <c r="E55" s="4" t="s">
        <v>255</v>
      </c>
      <c r="F55" s="3" t="s">
        <v>95</v>
      </c>
      <c r="G55" s="19">
        <v>0</v>
      </c>
      <c r="H55" s="3" t="s">
        <v>92</v>
      </c>
      <c r="I55" s="3" t="s">
        <v>93</v>
      </c>
      <c r="J55" s="4">
        <v>2</v>
      </c>
      <c r="K55" s="4">
        <v>1</v>
      </c>
      <c r="L55" s="3" t="s">
        <v>187</v>
      </c>
    </row>
    <row r="56" spans="1:12" ht="13" x14ac:dyDescent="0.15">
      <c r="A56" s="3" t="s">
        <v>189</v>
      </c>
      <c r="B56" s="3" t="s">
        <v>88</v>
      </c>
      <c r="C56" s="3" t="s">
        <v>97</v>
      </c>
      <c r="D56" s="4">
        <v>4</v>
      </c>
      <c r="E56" s="4" t="s">
        <v>255</v>
      </c>
      <c r="F56" s="3" t="s">
        <v>95</v>
      </c>
      <c r="G56" s="19">
        <v>1</v>
      </c>
      <c r="H56" s="3" t="s">
        <v>92</v>
      </c>
      <c r="I56" s="3" t="s">
        <v>99</v>
      </c>
      <c r="J56" s="4">
        <v>3</v>
      </c>
      <c r="K56" s="4">
        <v>3</v>
      </c>
      <c r="L56" s="4">
        <v>0</v>
      </c>
    </row>
    <row r="57" spans="1:12" ht="13" x14ac:dyDescent="0.15">
      <c r="A57" s="3" t="s">
        <v>196</v>
      </c>
      <c r="B57" s="3" t="s">
        <v>113</v>
      </c>
      <c r="C57" s="3" t="s">
        <v>108</v>
      </c>
      <c r="D57" s="4">
        <v>4</v>
      </c>
      <c r="E57" s="4" t="s">
        <v>255</v>
      </c>
      <c r="F57" s="3" t="s">
        <v>95</v>
      </c>
      <c r="G57" s="19">
        <v>1</v>
      </c>
      <c r="H57" s="3" t="s">
        <v>92</v>
      </c>
      <c r="I57" s="3" t="s">
        <v>99</v>
      </c>
      <c r="J57" s="4">
        <v>3</v>
      </c>
      <c r="K57" s="4">
        <v>3</v>
      </c>
      <c r="L57" s="3" t="s">
        <v>199</v>
      </c>
    </row>
    <row r="58" spans="1:12" ht="13" x14ac:dyDescent="0.15">
      <c r="A58" s="3" t="s">
        <v>87</v>
      </c>
      <c r="B58" s="3" t="s">
        <v>88</v>
      </c>
      <c r="C58" s="3" t="s">
        <v>89</v>
      </c>
      <c r="D58" s="4">
        <v>5</v>
      </c>
      <c r="E58" s="4" t="s">
        <v>255</v>
      </c>
      <c r="F58" s="3" t="s">
        <v>97</v>
      </c>
      <c r="G58" s="19">
        <v>1</v>
      </c>
      <c r="H58" s="3" t="s">
        <v>92</v>
      </c>
      <c r="I58" s="3" t="s">
        <v>99</v>
      </c>
      <c r="J58" s="4">
        <v>3</v>
      </c>
      <c r="K58" s="4">
        <v>3</v>
      </c>
      <c r="L58" s="3" t="s">
        <v>103</v>
      </c>
    </row>
    <row r="59" spans="1:12" ht="13" x14ac:dyDescent="0.15">
      <c r="A59" s="3" t="s">
        <v>112</v>
      </c>
      <c r="B59" s="3" t="s">
        <v>113</v>
      </c>
      <c r="C59" s="3" t="s">
        <v>95</v>
      </c>
      <c r="D59" s="4">
        <v>5</v>
      </c>
      <c r="E59" s="4" t="s">
        <v>255</v>
      </c>
      <c r="F59" s="3" t="s">
        <v>95</v>
      </c>
      <c r="G59" s="19">
        <v>1</v>
      </c>
      <c r="H59" s="3" t="s">
        <v>92</v>
      </c>
      <c r="I59" s="3" t="s">
        <v>99</v>
      </c>
      <c r="J59" s="4">
        <v>4</v>
      </c>
      <c r="K59" s="4">
        <v>4</v>
      </c>
      <c r="L59" s="4">
        <v>0</v>
      </c>
    </row>
    <row r="60" spans="1:12" ht="13" x14ac:dyDescent="0.15">
      <c r="A60" s="3" t="s">
        <v>115</v>
      </c>
      <c r="B60" s="3" t="s">
        <v>113</v>
      </c>
      <c r="C60" s="3" t="s">
        <v>95</v>
      </c>
      <c r="D60" s="4">
        <v>5</v>
      </c>
      <c r="E60" s="4" t="s">
        <v>255</v>
      </c>
      <c r="F60" s="3" t="s">
        <v>95</v>
      </c>
      <c r="G60" s="19">
        <v>1</v>
      </c>
      <c r="H60" s="3" t="s">
        <v>92</v>
      </c>
      <c r="I60" s="3" t="s">
        <v>99</v>
      </c>
      <c r="J60" s="4">
        <v>5</v>
      </c>
      <c r="K60" s="4">
        <v>5</v>
      </c>
      <c r="L60" s="4">
        <v>0</v>
      </c>
    </row>
    <row r="61" spans="1:12" ht="13" x14ac:dyDescent="0.15">
      <c r="A61" s="3" t="s">
        <v>121</v>
      </c>
      <c r="B61" s="3" t="s">
        <v>122</v>
      </c>
      <c r="C61" s="3" t="s">
        <v>97</v>
      </c>
      <c r="D61" s="4">
        <v>5</v>
      </c>
      <c r="E61" s="4" t="s">
        <v>255</v>
      </c>
      <c r="F61" s="3" t="s">
        <v>95</v>
      </c>
      <c r="G61" s="19">
        <v>0</v>
      </c>
      <c r="H61" s="3" t="s">
        <v>92</v>
      </c>
      <c r="I61" s="3" t="s">
        <v>93</v>
      </c>
      <c r="J61" s="4">
        <v>3</v>
      </c>
      <c r="K61" s="4">
        <v>3</v>
      </c>
      <c r="L61" s="4">
        <v>0</v>
      </c>
    </row>
    <row r="62" spans="1:12" ht="13" x14ac:dyDescent="0.15">
      <c r="A62" s="3" t="s">
        <v>130</v>
      </c>
      <c r="B62" s="3" t="s">
        <v>88</v>
      </c>
      <c r="C62" s="3" t="s">
        <v>97</v>
      </c>
      <c r="D62" s="4">
        <v>5</v>
      </c>
      <c r="E62" s="4" t="s">
        <v>255</v>
      </c>
      <c r="F62" s="3" t="s">
        <v>95</v>
      </c>
      <c r="G62" s="19">
        <v>1</v>
      </c>
      <c r="H62" s="3" t="s">
        <v>92</v>
      </c>
      <c r="I62" s="3" t="s">
        <v>99</v>
      </c>
      <c r="J62" s="4">
        <v>4</v>
      </c>
      <c r="K62" s="4">
        <v>4</v>
      </c>
      <c r="L62" s="4">
        <v>0</v>
      </c>
    </row>
    <row r="63" spans="1:12" ht="13" x14ac:dyDescent="0.15">
      <c r="A63" s="3" t="s">
        <v>137</v>
      </c>
      <c r="B63" s="3" t="s">
        <v>113</v>
      </c>
      <c r="C63" s="3" t="s">
        <v>108</v>
      </c>
      <c r="D63" s="4">
        <v>5</v>
      </c>
      <c r="E63" s="4" t="s">
        <v>255</v>
      </c>
      <c r="F63" s="3" t="s">
        <v>97</v>
      </c>
      <c r="G63" s="19">
        <v>1</v>
      </c>
      <c r="H63" s="3" t="s">
        <v>92</v>
      </c>
      <c r="I63" s="3" t="s">
        <v>99</v>
      </c>
      <c r="J63" s="4">
        <v>4</v>
      </c>
      <c r="K63" s="4">
        <v>4</v>
      </c>
      <c r="L63" s="4">
        <v>0</v>
      </c>
    </row>
    <row r="64" spans="1:12" ht="13" x14ac:dyDescent="0.15">
      <c r="A64" s="3" t="s">
        <v>145</v>
      </c>
      <c r="B64" s="3" t="s">
        <v>113</v>
      </c>
      <c r="C64" s="3" t="s">
        <v>146</v>
      </c>
      <c r="D64" s="4">
        <v>5</v>
      </c>
      <c r="E64" s="4" t="s">
        <v>255</v>
      </c>
      <c r="F64" s="3" t="s">
        <v>95</v>
      </c>
      <c r="G64" s="19">
        <v>1</v>
      </c>
      <c r="H64" s="3" t="s">
        <v>92</v>
      </c>
      <c r="I64" s="3" t="s">
        <v>99</v>
      </c>
      <c r="J64" s="4">
        <v>5</v>
      </c>
      <c r="K64" s="4">
        <v>4</v>
      </c>
      <c r="L64" s="3" t="s">
        <v>151</v>
      </c>
    </row>
    <row r="65" spans="1:12" ht="13" x14ac:dyDescent="0.15">
      <c r="A65" s="3" t="s">
        <v>156</v>
      </c>
      <c r="B65" s="3" t="s">
        <v>88</v>
      </c>
      <c r="C65" s="3" t="s">
        <v>97</v>
      </c>
      <c r="D65" s="4">
        <v>5</v>
      </c>
      <c r="E65" s="4" t="s">
        <v>255</v>
      </c>
      <c r="F65" s="3" t="s">
        <v>95</v>
      </c>
      <c r="G65" s="19">
        <v>1</v>
      </c>
      <c r="H65" s="3" t="s">
        <v>92</v>
      </c>
      <c r="I65" s="3" t="s">
        <v>93</v>
      </c>
      <c r="J65" s="4">
        <v>5</v>
      </c>
      <c r="K65" s="4">
        <v>5</v>
      </c>
      <c r="L65" s="3" t="s">
        <v>159</v>
      </c>
    </row>
    <row r="66" spans="1:12" ht="13" x14ac:dyDescent="0.15">
      <c r="A66" s="3" t="s">
        <v>164</v>
      </c>
      <c r="B66" s="3" t="s">
        <v>88</v>
      </c>
      <c r="C66" s="3" t="s">
        <v>97</v>
      </c>
      <c r="D66" s="4">
        <v>5</v>
      </c>
      <c r="E66" s="4" t="s">
        <v>255</v>
      </c>
      <c r="F66" s="3" t="s">
        <v>95</v>
      </c>
      <c r="G66" s="19">
        <v>1</v>
      </c>
      <c r="H66" s="3" t="s">
        <v>92</v>
      </c>
      <c r="I66" s="3" t="s">
        <v>99</v>
      </c>
      <c r="J66" s="4">
        <v>5</v>
      </c>
      <c r="K66" s="4">
        <v>5</v>
      </c>
      <c r="L66" s="4">
        <v>0</v>
      </c>
    </row>
    <row r="67" spans="1:12" ht="13" x14ac:dyDescent="0.15">
      <c r="A67" s="3" t="s">
        <v>174</v>
      </c>
      <c r="B67" s="3" t="s">
        <v>88</v>
      </c>
      <c r="C67" s="3" t="s">
        <v>89</v>
      </c>
      <c r="D67" s="4">
        <v>5</v>
      </c>
      <c r="E67" s="4" t="s">
        <v>255</v>
      </c>
      <c r="F67" s="3" t="s">
        <v>95</v>
      </c>
      <c r="G67" s="19">
        <v>1</v>
      </c>
      <c r="H67" s="3" t="s">
        <v>92</v>
      </c>
      <c r="I67" s="3" t="s">
        <v>99</v>
      </c>
      <c r="J67" s="4">
        <v>4</v>
      </c>
      <c r="K67" s="4">
        <v>4</v>
      </c>
      <c r="L67" s="4">
        <v>0</v>
      </c>
    </row>
    <row r="68" spans="1:12" ht="13" x14ac:dyDescent="0.15">
      <c r="A68" s="3" t="s">
        <v>181</v>
      </c>
      <c r="B68" s="3" t="s">
        <v>122</v>
      </c>
      <c r="C68" s="3" t="s">
        <v>108</v>
      </c>
      <c r="D68" s="4">
        <v>5</v>
      </c>
      <c r="E68" s="4" t="s">
        <v>255</v>
      </c>
      <c r="F68" s="3" t="s">
        <v>95</v>
      </c>
      <c r="G68" s="19">
        <v>1</v>
      </c>
      <c r="H68" s="3" t="s">
        <v>92</v>
      </c>
      <c r="I68" s="3" t="s">
        <v>99</v>
      </c>
      <c r="J68" s="4">
        <v>5</v>
      </c>
      <c r="K68" s="4">
        <v>5</v>
      </c>
      <c r="L68" s="4">
        <v>0</v>
      </c>
    </row>
    <row r="69" spans="1:12" ht="13" x14ac:dyDescent="0.15">
      <c r="A69" s="3" t="s">
        <v>183</v>
      </c>
      <c r="B69" s="3" t="s">
        <v>88</v>
      </c>
      <c r="C69" s="3" t="s">
        <v>89</v>
      </c>
      <c r="D69" s="4">
        <v>5</v>
      </c>
      <c r="E69" s="4" t="s">
        <v>255</v>
      </c>
      <c r="F69" s="3" t="s">
        <v>95</v>
      </c>
      <c r="G69" s="19">
        <v>1</v>
      </c>
      <c r="H69" s="3" t="s">
        <v>92</v>
      </c>
      <c r="I69" s="3" t="s">
        <v>93</v>
      </c>
      <c r="J69" s="4">
        <v>5</v>
      </c>
      <c r="K69" s="4">
        <v>5</v>
      </c>
      <c r="L69" s="4">
        <v>0</v>
      </c>
    </row>
    <row r="70" spans="1:12" ht="13" x14ac:dyDescent="0.15">
      <c r="A70" s="3" t="s">
        <v>189</v>
      </c>
      <c r="B70" s="3" t="s">
        <v>88</v>
      </c>
      <c r="C70" s="3" t="s">
        <v>97</v>
      </c>
      <c r="D70" s="4">
        <v>5</v>
      </c>
      <c r="E70" s="4" t="s">
        <v>255</v>
      </c>
      <c r="F70" s="3" t="s">
        <v>95</v>
      </c>
      <c r="G70" s="19">
        <v>1</v>
      </c>
      <c r="H70" s="3" t="s">
        <v>92</v>
      </c>
      <c r="I70" s="3" t="s">
        <v>99</v>
      </c>
      <c r="J70" s="4">
        <v>5</v>
      </c>
      <c r="K70" s="4">
        <v>4</v>
      </c>
      <c r="L70" s="4">
        <v>0</v>
      </c>
    </row>
    <row r="71" spans="1:12" ht="13" x14ac:dyDescent="0.15">
      <c r="A71" s="3" t="s">
        <v>196</v>
      </c>
      <c r="B71" s="3" t="s">
        <v>113</v>
      </c>
      <c r="C71" s="3" t="s">
        <v>108</v>
      </c>
      <c r="D71" s="4">
        <v>5</v>
      </c>
      <c r="E71" s="4" t="s">
        <v>255</v>
      </c>
      <c r="F71" s="3" t="s">
        <v>95</v>
      </c>
      <c r="G71" s="19">
        <v>1</v>
      </c>
      <c r="H71" s="3" t="s">
        <v>92</v>
      </c>
      <c r="I71" s="3" t="s">
        <v>99</v>
      </c>
      <c r="J71" s="4">
        <v>4</v>
      </c>
      <c r="K71" s="4">
        <v>4</v>
      </c>
      <c r="L71" s="4">
        <v>0</v>
      </c>
    </row>
    <row r="72" spans="1:12" ht="13" x14ac:dyDescent="0.15">
      <c r="A72" s="3" t="s">
        <v>87</v>
      </c>
      <c r="B72" s="3" t="s">
        <v>88</v>
      </c>
      <c r="C72" s="3" t="s">
        <v>89</v>
      </c>
      <c r="D72" s="4">
        <v>6</v>
      </c>
      <c r="E72" s="4" t="s">
        <v>255</v>
      </c>
      <c r="F72" s="3" t="s">
        <v>104</v>
      </c>
      <c r="G72" s="19">
        <v>1</v>
      </c>
      <c r="H72" s="3" t="s">
        <v>92</v>
      </c>
      <c r="I72" s="3" t="s">
        <v>99</v>
      </c>
      <c r="J72" s="4">
        <v>2</v>
      </c>
      <c r="K72" s="4">
        <v>2</v>
      </c>
      <c r="L72" s="3" t="s">
        <v>105</v>
      </c>
    </row>
    <row r="73" spans="1:12" ht="13" x14ac:dyDescent="0.15">
      <c r="A73" s="3" t="s">
        <v>112</v>
      </c>
      <c r="B73" s="3" t="s">
        <v>113</v>
      </c>
      <c r="C73" s="3" t="s">
        <v>95</v>
      </c>
      <c r="D73" s="4">
        <v>6</v>
      </c>
      <c r="E73" s="4" t="s">
        <v>255</v>
      </c>
      <c r="F73" s="3" t="s">
        <v>108</v>
      </c>
      <c r="G73" s="19">
        <v>1</v>
      </c>
      <c r="H73" s="3" t="s">
        <v>92</v>
      </c>
      <c r="I73" s="3" t="s">
        <v>101</v>
      </c>
      <c r="J73" s="4">
        <v>3</v>
      </c>
      <c r="K73" s="4">
        <v>4</v>
      </c>
      <c r="L73" s="4">
        <v>0</v>
      </c>
    </row>
    <row r="74" spans="1:12" ht="13" x14ac:dyDescent="0.15">
      <c r="A74" s="3" t="s">
        <v>115</v>
      </c>
      <c r="B74" s="3" t="s">
        <v>113</v>
      </c>
      <c r="C74" s="3" t="s">
        <v>95</v>
      </c>
      <c r="D74" s="4">
        <v>6</v>
      </c>
      <c r="E74" s="4" t="s">
        <v>255</v>
      </c>
      <c r="F74" s="3" t="s">
        <v>104</v>
      </c>
      <c r="G74" s="19">
        <v>0</v>
      </c>
      <c r="H74" s="3" t="s">
        <v>98</v>
      </c>
      <c r="I74" s="3" t="s">
        <v>101</v>
      </c>
      <c r="J74" s="4">
        <v>5</v>
      </c>
      <c r="K74" s="4">
        <v>5</v>
      </c>
      <c r="L74" s="3" t="s">
        <v>119</v>
      </c>
    </row>
    <row r="75" spans="1:12" ht="13" x14ac:dyDescent="0.15">
      <c r="A75" s="3" t="s">
        <v>121</v>
      </c>
      <c r="B75" s="3" t="s">
        <v>122</v>
      </c>
      <c r="C75" s="3" t="s">
        <v>97</v>
      </c>
      <c r="D75" s="4">
        <v>6</v>
      </c>
      <c r="E75" s="4" t="s">
        <v>255</v>
      </c>
      <c r="F75" s="3" t="s">
        <v>108</v>
      </c>
      <c r="G75" s="19">
        <v>1</v>
      </c>
      <c r="H75" s="3" t="s">
        <v>92</v>
      </c>
      <c r="I75" s="3" t="s">
        <v>99</v>
      </c>
      <c r="J75" s="4">
        <v>4</v>
      </c>
      <c r="K75" s="4">
        <v>4</v>
      </c>
      <c r="L75" s="4">
        <v>0</v>
      </c>
    </row>
    <row r="76" spans="1:12" ht="13" x14ac:dyDescent="0.15">
      <c r="A76" s="3" t="s">
        <v>130</v>
      </c>
      <c r="B76" s="3" t="s">
        <v>88</v>
      </c>
      <c r="C76" s="3" t="s">
        <v>97</v>
      </c>
      <c r="D76" s="4">
        <v>6</v>
      </c>
      <c r="E76" s="4" t="s">
        <v>255</v>
      </c>
      <c r="F76" s="3" t="s">
        <v>108</v>
      </c>
      <c r="G76" s="19">
        <v>1</v>
      </c>
      <c r="H76" s="3" t="s">
        <v>92</v>
      </c>
      <c r="I76" s="3" t="s">
        <v>99</v>
      </c>
      <c r="J76" s="4">
        <v>4</v>
      </c>
      <c r="K76" s="4">
        <v>4</v>
      </c>
      <c r="L76" s="3" t="s">
        <v>132</v>
      </c>
    </row>
    <row r="77" spans="1:12" ht="13" x14ac:dyDescent="0.15">
      <c r="A77" s="3" t="s">
        <v>137</v>
      </c>
      <c r="B77" s="3" t="s">
        <v>113</v>
      </c>
      <c r="C77" s="3" t="s">
        <v>108</v>
      </c>
      <c r="D77" s="4">
        <v>6</v>
      </c>
      <c r="E77" s="4" t="s">
        <v>255</v>
      </c>
      <c r="F77" s="3" t="s">
        <v>108</v>
      </c>
      <c r="G77" s="19">
        <v>0</v>
      </c>
      <c r="H77" s="3" t="s">
        <v>98</v>
      </c>
      <c r="I77" s="3" t="s">
        <v>101</v>
      </c>
      <c r="J77" s="4">
        <v>4</v>
      </c>
      <c r="K77" s="4">
        <v>4</v>
      </c>
      <c r="L77" s="3" t="s">
        <v>141</v>
      </c>
    </row>
    <row r="78" spans="1:12" ht="13" x14ac:dyDescent="0.15">
      <c r="A78" s="3" t="s">
        <v>145</v>
      </c>
      <c r="B78" s="3" t="s">
        <v>113</v>
      </c>
      <c r="C78" s="3" t="s">
        <v>146</v>
      </c>
      <c r="D78" s="4">
        <v>6</v>
      </c>
      <c r="E78" s="4" t="s">
        <v>255</v>
      </c>
      <c r="F78" s="3" t="s">
        <v>108</v>
      </c>
      <c r="G78" s="19">
        <v>1</v>
      </c>
      <c r="H78" s="3" t="s">
        <v>92</v>
      </c>
      <c r="I78" s="3" t="s">
        <v>99</v>
      </c>
      <c r="J78" s="4">
        <v>4</v>
      </c>
      <c r="K78" s="4">
        <v>4</v>
      </c>
      <c r="L78" s="3" t="s">
        <v>152</v>
      </c>
    </row>
    <row r="79" spans="1:12" ht="13" x14ac:dyDescent="0.15">
      <c r="A79" s="3" t="s">
        <v>156</v>
      </c>
      <c r="B79" s="3" t="s">
        <v>88</v>
      </c>
      <c r="C79" s="3" t="s">
        <v>97</v>
      </c>
      <c r="D79" s="4">
        <v>6</v>
      </c>
      <c r="E79" s="4" t="s">
        <v>255</v>
      </c>
      <c r="F79" s="3" t="s">
        <v>108</v>
      </c>
      <c r="G79" s="19">
        <v>0</v>
      </c>
      <c r="H79" s="3" t="s">
        <v>92</v>
      </c>
      <c r="I79" s="3" t="s">
        <v>99</v>
      </c>
      <c r="J79" s="4">
        <v>4</v>
      </c>
      <c r="K79" s="4">
        <v>3</v>
      </c>
      <c r="L79" s="3" t="s">
        <v>160</v>
      </c>
    </row>
    <row r="80" spans="1:12" ht="13" x14ac:dyDescent="0.15">
      <c r="A80" s="3" t="s">
        <v>164</v>
      </c>
      <c r="B80" s="3" t="s">
        <v>88</v>
      </c>
      <c r="C80" s="3" t="s">
        <v>97</v>
      </c>
      <c r="D80" s="4">
        <v>6</v>
      </c>
      <c r="E80" s="4" t="s">
        <v>255</v>
      </c>
      <c r="F80" s="3" t="s">
        <v>108</v>
      </c>
      <c r="G80" s="19">
        <v>1</v>
      </c>
      <c r="H80" s="3" t="s">
        <v>92</v>
      </c>
      <c r="I80" s="3" t="s">
        <v>101</v>
      </c>
      <c r="J80" s="4">
        <v>3</v>
      </c>
      <c r="K80" s="4">
        <v>3</v>
      </c>
      <c r="L80" s="3" t="s">
        <v>217</v>
      </c>
    </row>
    <row r="81" spans="1:12" ht="13" x14ac:dyDescent="0.15">
      <c r="A81" s="3" t="s">
        <v>174</v>
      </c>
      <c r="B81" s="3" t="s">
        <v>88</v>
      </c>
      <c r="C81" s="3" t="s">
        <v>89</v>
      </c>
      <c r="D81" s="4">
        <v>6</v>
      </c>
      <c r="E81" s="4" t="s">
        <v>255</v>
      </c>
      <c r="F81" s="3" t="s">
        <v>108</v>
      </c>
      <c r="G81" s="19">
        <v>0</v>
      </c>
      <c r="H81" s="3" t="s">
        <v>98</v>
      </c>
      <c r="I81" s="3" t="s">
        <v>101</v>
      </c>
      <c r="J81" s="4">
        <v>1</v>
      </c>
      <c r="K81" s="4">
        <v>1</v>
      </c>
      <c r="L81" s="3" t="s">
        <v>178</v>
      </c>
    </row>
    <row r="82" spans="1:12" ht="13" x14ac:dyDescent="0.15">
      <c r="A82" s="3" t="s">
        <v>181</v>
      </c>
      <c r="B82" s="3" t="s">
        <v>122</v>
      </c>
      <c r="C82" s="3" t="s">
        <v>108</v>
      </c>
      <c r="D82" s="4">
        <v>6</v>
      </c>
      <c r="E82" s="4" t="s">
        <v>255</v>
      </c>
      <c r="F82" s="3" t="s">
        <v>95</v>
      </c>
      <c r="G82" s="19">
        <v>1</v>
      </c>
      <c r="H82" s="3" t="s">
        <v>92</v>
      </c>
      <c r="I82" s="3" t="s">
        <v>101</v>
      </c>
      <c r="J82" s="4">
        <v>3</v>
      </c>
      <c r="K82" s="4">
        <v>4</v>
      </c>
      <c r="L82" s="4">
        <v>0</v>
      </c>
    </row>
    <row r="83" spans="1:12" ht="13" x14ac:dyDescent="0.15">
      <c r="A83" s="3" t="s">
        <v>183</v>
      </c>
      <c r="B83" s="3" t="s">
        <v>88</v>
      </c>
      <c r="C83" s="3" t="s">
        <v>89</v>
      </c>
      <c r="D83" s="4">
        <v>6</v>
      </c>
      <c r="E83" s="4" t="s">
        <v>255</v>
      </c>
      <c r="F83" s="3" t="s">
        <v>95</v>
      </c>
      <c r="G83" s="19">
        <v>1</v>
      </c>
      <c r="H83" s="3" t="s">
        <v>92</v>
      </c>
      <c r="I83" s="3" t="s">
        <v>99</v>
      </c>
      <c r="J83" s="4">
        <v>4</v>
      </c>
      <c r="K83" s="4">
        <v>4</v>
      </c>
      <c r="L83" s="3" t="s">
        <v>188</v>
      </c>
    </row>
    <row r="84" spans="1:12" ht="13" x14ac:dyDescent="0.15">
      <c r="A84" s="3" t="s">
        <v>189</v>
      </c>
      <c r="B84" s="3" t="s">
        <v>88</v>
      </c>
      <c r="C84" s="3" t="s">
        <v>97</v>
      </c>
      <c r="D84" s="4">
        <v>6</v>
      </c>
      <c r="E84" s="4" t="s">
        <v>255</v>
      </c>
      <c r="F84" s="3" t="s">
        <v>108</v>
      </c>
      <c r="G84" s="19">
        <v>1</v>
      </c>
      <c r="H84" s="3" t="s">
        <v>92</v>
      </c>
      <c r="I84" s="3" t="s">
        <v>99</v>
      </c>
      <c r="J84" s="4">
        <v>4</v>
      </c>
      <c r="K84" s="4">
        <v>4</v>
      </c>
      <c r="L84" s="3" t="s">
        <v>218</v>
      </c>
    </row>
    <row r="85" spans="1:12" ht="13" x14ac:dyDescent="0.15">
      <c r="A85" s="3" t="s">
        <v>196</v>
      </c>
      <c r="B85" s="3" t="s">
        <v>113</v>
      </c>
      <c r="C85" s="3" t="s">
        <v>108</v>
      </c>
      <c r="D85" s="4">
        <v>6</v>
      </c>
      <c r="E85" s="4" t="s">
        <v>255</v>
      </c>
      <c r="F85" s="3" t="s">
        <v>104</v>
      </c>
      <c r="G85" s="19">
        <v>0</v>
      </c>
      <c r="H85" s="3" t="s">
        <v>98</v>
      </c>
      <c r="I85" s="3" t="s">
        <v>101</v>
      </c>
      <c r="J85" s="4">
        <v>3</v>
      </c>
      <c r="K85" s="4">
        <v>2</v>
      </c>
      <c r="L85" s="3" t="s">
        <v>200</v>
      </c>
    </row>
    <row r="86" spans="1:12" ht="13" x14ac:dyDescent="0.15">
      <c r="A86" s="3" t="s">
        <v>87</v>
      </c>
      <c r="B86" s="3" t="s">
        <v>88</v>
      </c>
      <c r="C86" s="3" t="s">
        <v>89</v>
      </c>
      <c r="D86" s="4">
        <v>7</v>
      </c>
      <c r="E86" s="4" t="s">
        <v>255</v>
      </c>
      <c r="F86" s="3" t="s">
        <v>97</v>
      </c>
      <c r="G86" s="19">
        <v>1</v>
      </c>
      <c r="H86" s="3" t="s">
        <v>106</v>
      </c>
      <c r="I86" s="3" t="s">
        <v>99</v>
      </c>
      <c r="J86" s="4">
        <v>3</v>
      </c>
      <c r="K86" s="4">
        <v>3</v>
      </c>
      <c r="L86" s="3" t="s">
        <v>107</v>
      </c>
    </row>
    <row r="87" spans="1:12" ht="13" x14ac:dyDescent="0.15">
      <c r="A87" s="3" t="s">
        <v>112</v>
      </c>
      <c r="B87" s="3" t="s">
        <v>113</v>
      </c>
      <c r="C87" s="3" t="s">
        <v>95</v>
      </c>
      <c r="D87" s="4">
        <v>7</v>
      </c>
      <c r="E87" s="4" t="s">
        <v>255</v>
      </c>
      <c r="F87" s="3" t="s">
        <v>108</v>
      </c>
      <c r="G87" s="19">
        <v>1</v>
      </c>
      <c r="H87" s="3" t="s">
        <v>106</v>
      </c>
      <c r="I87" s="3" t="s">
        <v>93</v>
      </c>
      <c r="J87" s="4">
        <v>3</v>
      </c>
      <c r="K87" s="4">
        <v>5</v>
      </c>
      <c r="L87" s="4">
        <v>0</v>
      </c>
    </row>
    <row r="88" spans="1:12" ht="13" x14ac:dyDescent="0.15">
      <c r="A88" s="3" t="s">
        <v>115</v>
      </c>
      <c r="B88" s="3" t="s">
        <v>113</v>
      </c>
      <c r="C88" s="3" t="s">
        <v>95</v>
      </c>
      <c r="D88" s="4">
        <v>7</v>
      </c>
      <c r="E88" s="4" t="s">
        <v>255</v>
      </c>
      <c r="F88" s="3" t="s">
        <v>108</v>
      </c>
      <c r="G88" s="19">
        <v>1</v>
      </c>
      <c r="H88" s="3" t="s">
        <v>106</v>
      </c>
      <c r="I88" s="3" t="s">
        <v>99</v>
      </c>
      <c r="J88" s="4">
        <v>4</v>
      </c>
      <c r="K88" s="4">
        <v>5</v>
      </c>
      <c r="L88" s="4">
        <v>0</v>
      </c>
    </row>
    <row r="89" spans="1:12" ht="13" x14ac:dyDescent="0.15">
      <c r="A89" s="3" t="s">
        <v>121</v>
      </c>
      <c r="B89" s="3" t="s">
        <v>122</v>
      </c>
      <c r="C89" s="3" t="s">
        <v>97</v>
      </c>
      <c r="D89" s="4">
        <v>7</v>
      </c>
      <c r="E89" s="4" t="s">
        <v>255</v>
      </c>
      <c r="F89" s="3" t="s">
        <v>95</v>
      </c>
      <c r="G89" s="19">
        <v>1</v>
      </c>
      <c r="H89" s="3" t="s">
        <v>106</v>
      </c>
      <c r="I89" s="3" t="s">
        <v>93</v>
      </c>
      <c r="J89" s="4">
        <v>4</v>
      </c>
      <c r="K89" s="4">
        <v>4</v>
      </c>
      <c r="L89" s="4">
        <v>0</v>
      </c>
    </row>
    <row r="90" spans="1:12" ht="13" x14ac:dyDescent="0.15">
      <c r="A90" s="3" t="s">
        <v>130</v>
      </c>
      <c r="B90" s="3" t="s">
        <v>88</v>
      </c>
      <c r="C90" s="3" t="s">
        <v>97</v>
      </c>
      <c r="D90" s="4">
        <v>7</v>
      </c>
      <c r="E90" s="4" t="s">
        <v>255</v>
      </c>
      <c r="F90" s="3" t="s">
        <v>108</v>
      </c>
      <c r="G90" s="19">
        <v>1</v>
      </c>
      <c r="H90" s="3" t="s">
        <v>106</v>
      </c>
      <c r="I90" s="3" t="s">
        <v>93</v>
      </c>
      <c r="J90" s="4">
        <v>4</v>
      </c>
      <c r="K90" s="4">
        <v>4</v>
      </c>
      <c r="L90" s="4">
        <v>0</v>
      </c>
    </row>
    <row r="91" spans="1:12" ht="13" x14ac:dyDescent="0.15">
      <c r="A91" s="3" t="s">
        <v>137</v>
      </c>
      <c r="B91" s="3" t="s">
        <v>113</v>
      </c>
      <c r="C91" s="3" t="s">
        <v>108</v>
      </c>
      <c r="D91" s="4">
        <v>7</v>
      </c>
      <c r="E91" s="4" t="s">
        <v>255</v>
      </c>
      <c r="F91" s="3" t="s">
        <v>108</v>
      </c>
      <c r="G91" s="19">
        <v>1</v>
      </c>
      <c r="H91" s="3" t="s">
        <v>106</v>
      </c>
      <c r="I91" s="3" t="s">
        <v>99</v>
      </c>
      <c r="J91" s="4">
        <v>5</v>
      </c>
      <c r="K91" s="4">
        <v>5</v>
      </c>
      <c r="L91" s="4">
        <v>0</v>
      </c>
    </row>
    <row r="92" spans="1:12" ht="13" x14ac:dyDescent="0.15">
      <c r="A92" s="3" t="s">
        <v>145</v>
      </c>
      <c r="B92" s="3" t="s">
        <v>113</v>
      </c>
      <c r="C92" s="3" t="s">
        <v>146</v>
      </c>
      <c r="D92" s="4">
        <v>7</v>
      </c>
      <c r="E92" s="4" t="s">
        <v>255</v>
      </c>
      <c r="F92" s="3" t="s">
        <v>95</v>
      </c>
      <c r="G92" s="19">
        <v>1</v>
      </c>
      <c r="H92" s="3" t="s">
        <v>106</v>
      </c>
      <c r="I92" s="3" t="s">
        <v>93</v>
      </c>
      <c r="J92" s="4">
        <v>5</v>
      </c>
      <c r="K92" s="4">
        <v>3</v>
      </c>
      <c r="L92" s="4">
        <v>0</v>
      </c>
    </row>
    <row r="93" spans="1:12" ht="13" x14ac:dyDescent="0.15">
      <c r="A93" s="3" t="s">
        <v>156</v>
      </c>
      <c r="B93" s="3" t="s">
        <v>88</v>
      </c>
      <c r="C93" s="3" t="s">
        <v>97</v>
      </c>
      <c r="D93" s="4">
        <v>7</v>
      </c>
      <c r="E93" s="4" t="s">
        <v>255</v>
      </c>
      <c r="F93" s="3" t="s">
        <v>108</v>
      </c>
      <c r="G93" s="19">
        <v>1</v>
      </c>
      <c r="H93" s="3" t="s">
        <v>106</v>
      </c>
      <c r="I93" s="3" t="s">
        <v>99</v>
      </c>
      <c r="J93" s="4">
        <v>4</v>
      </c>
      <c r="K93" s="4">
        <v>4</v>
      </c>
      <c r="L93" s="4">
        <v>0</v>
      </c>
    </row>
    <row r="94" spans="1:12" ht="13" x14ac:dyDescent="0.15">
      <c r="A94" s="3" t="s">
        <v>164</v>
      </c>
      <c r="B94" s="3" t="s">
        <v>88</v>
      </c>
      <c r="C94" s="3" t="s">
        <v>97</v>
      </c>
      <c r="D94" s="4">
        <v>7</v>
      </c>
      <c r="E94" s="4" t="s">
        <v>255</v>
      </c>
      <c r="F94" s="3" t="s">
        <v>104</v>
      </c>
      <c r="G94" s="19">
        <v>0</v>
      </c>
      <c r="H94" s="3" t="s">
        <v>170</v>
      </c>
      <c r="I94" s="3" t="s">
        <v>101</v>
      </c>
      <c r="J94" s="4">
        <v>3</v>
      </c>
      <c r="K94" s="4">
        <v>1</v>
      </c>
      <c r="L94" s="3" t="s">
        <v>171</v>
      </c>
    </row>
    <row r="95" spans="1:12" ht="13" x14ac:dyDescent="0.15">
      <c r="A95" s="3" t="s">
        <v>174</v>
      </c>
      <c r="B95" s="3" t="s">
        <v>88</v>
      </c>
      <c r="C95" s="3" t="s">
        <v>89</v>
      </c>
      <c r="D95" s="4">
        <v>7</v>
      </c>
      <c r="E95" s="4" t="s">
        <v>255</v>
      </c>
      <c r="F95" s="3" t="s">
        <v>108</v>
      </c>
      <c r="G95" s="19">
        <v>1</v>
      </c>
      <c r="H95" s="3" t="s">
        <v>106</v>
      </c>
      <c r="I95" s="3" t="s">
        <v>99</v>
      </c>
      <c r="J95" s="4">
        <v>5</v>
      </c>
      <c r="K95" s="4">
        <v>5</v>
      </c>
      <c r="L95" s="4">
        <v>0</v>
      </c>
    </row>
    <row r="96" spans="1:12" ht="13" x14ac:dyDescent="0.15">
      <c r="A96" s="3" t="s">
        <v>181</v>
      </c>
      <c r="B96" s="3" t="s">
        <v>122</v>
      </c>
      <c r="C96" s="3" t="s">
        <v>108</v>
      </c>
      <c r="D96" s="4">
        <v>7</v>
      </c>
      <c r="E96" s="4" t="s">
        <v>255</v>
      </c>
      <c r="F96" s="3" t="s">
        <v>108</v>
      </c>
      <c r="G96" s="19">
        <v>1</v>
      </c>
      <c r="H96" s="3" t="s">
        <v>106</v>
      </c>
      <c r="I96" s="3" t="s">
        <v>99</v>
      </c>
      <c r="J96" s="4">
        <v>3</v>
      </c>
      <c r="K96" s="4">
        <v>3</v>
      </c>
      <c r="L96" s="4">
        <v>0</v>
      </c>
    </row>
    <row r="97" spans="1:12" ht="13" x14ac:dyDescent="0.15">
      <c r="A97" s="3" t="s">
        <v>183</v>
      </c>
      <c r="B97" s="3" t="s">
        <v>88</v>
      </c>
      <c r="C97" s="3" t="s">
        <v>89</v>
      </c>
      <c r="D97" s="4">
        <v>7</v>
      </c>
      <c r="E97" s="4" t="s">
        <v>255</v>
      </c>
      <c r="F97" s="3" t="s">
        <v>108</v>
      </c>
      <c r="G97" s="19">
        <v>1</v>
      </c>
      <c r="H97" s="3" t="s">
        <v>106</v>
      </c>
      <c r="I97" s="3" t="s">
        <v>93</v>
      </c>
      <c r="J97" s="4">
        <v>4</v>
      </c>
      <c r="K97" s="4">
        <v>4</v>
      </c>
      <c r="L97" s="4">
        <v>0</v>
      </c>
    </row>
    <row r="98" spans="1:12" ht="13" x14ac:dyDescent="0.15">
      <c r="A98" s="3" t="s">
        <v>189</v>
      </c>
      <c r="B98" s="3" t="s">
        <v>88</v>
      </c>
      <c r="C98" s="3" t="s">
        <v>97</v>
      </c>
      <c r="D98" s="4">
        <v>7</v>
      </c>
      <c r="E98" s="4" t="s">
        <v>255</v>
      </c>
      <c r="F98" s="3" t="s">
        <v>108</v>
      </c>
      <c r="G98" s="19">
        <v>1</v>
      </c>
      <c r="H98" s="3" t="s">
        <v>106</v>
      </c>
      <c r="I98" s="3" t="s">
        <v>99</v>
      </c>
      <c r="J98" s="4">
        <v>3</v>
      </c>
      <c r="K98" s="4">
        <v>4</v>
      </c>
      <c r="L98" s="3" t="s">
        <v>193</v>
      </c>
    </row>
    <row r="99" spans="1:12" ht="13" x14ac:dyDescent="0.15">
      <c r="A99" s="3" t="s">
        <v>196</v>
      </c>
      <c r="B99" s="3" t="s">
        <v>113</v>
      </c>
      <c r="C99" s="3" t="s">
        <v>108</v>
      </c>
      <c r="D99" s="4">
        <v>7</v>
      </c>
      <c r="E99" s="4" t="s">
        <v>255</v>
      </c>
      <c r="F99" s="3" t="s">
        <v>108</v>
      </c>
      <c r="G99" s="19">
        <v>1</v>
      </c>
      <c r="H99" s="3" t="s">
        <v>106</v>
      </c>
      <c r="I99" s="3" t="s">
        <v>101</v>
      </c>
      <c r="J99" s="4">
        <v>5</v>
      </c>
      <c r="K99" s="4">
        <v>5</v>
      </c>
      <c r="L99" s="3" t="s">
        <v>201</v>
      </c>
    </row>
    <row r="100" spans="1:12" ht="13" x14ac:dyDescent="0.15">
      <c r="A100" s="3" t="s">
        <v>87</v>
      </c>
      <c r="B100" s="3" t="s">
        <v>88</v>
      </c>
      <c r="C100" s="3" t="s">
        <v>89</v>
      </c>
      <c r="D100" s="4">
        <v>8</v>
      </c>
      <c r="E100" s="4" t="s">
        <v>255</v>
      </c>
      <c r="F100" s="3" t="s">
        <v>108</v>
      </c>
      <c r="G100" s="19">
        <v>1</v>
      </c>
      <c r="H100" s="3" t="s">
        <v>98</v>
      </c>
      <c r="I100" s="3" t="s">
        <v>101</v>
      </c>
      <c r="J100" s="4">
        <v>2</v>
      </c>
      <c r="K100" s="4">
        <v>2</v>
      </c>
      <c r="L100" s="3" t="s">
        <v>109</v>
      </c>
    </row>
    <row r="101" spans="1:12" ht="13" x14ac:dyDescent="0.15">
      <c r="A101" s="3" t="s">
        <v>112</v>
      </c>
      <c r="B101" s="3" t="s">
        <v>113</v>
      </c>
      <c r="C101" s="3" t="s">
        <v>95</v>
      </c>
      <c r="D101" s="4">
        <v>8</v>
      </c>
      <c r="E101" s="4" t="s">
        <v>255</v>
      </c>
      <c r="F101" s="3" t="s">
        <v>108</v>
      </c>
      <c r="G101" s="19">
        <v>1</v>
      </c>
      <c r="H101" s="3" t="s">
        <v>92</v>
      </c>
      <c r="I101" s="3" t="s">
        <v>99</v>
      </c>
      <c r="J101" s="4">
        <v>3</v>
      </c>
      <c r="K101" s="4">
        <v>4</v>
      </c>
      <c r="L101" s="4">
        <v>0</v>
      </c>
    </row>
    <row r="102" spans="1:12" ht="13" x14ac:dyDescent="0.15">
      <c r="A102" s="3" t="s">
        <v>115</v>
      </c>
      <c r="B102" s="3" t="s">
        <v>113</v>
      </c>
      <c r="C102" s="3" t="s">
        <v>95</v>
      </c>
      <c r="D102" s="4">
        <v>8</v>
      </c>
      <c r="E102" s="4" t="s">
        <v>255</v>
      </c>
      <c r="F102" s="3" t="s">
        <v>108</v>
      </c>
      <c r="G102" s="19">
        <v>1</v>
      </c>
      <c r="H102" s="3" t="s">
        <v>92</v>
      </c>
      <c r="I102" s="3" t="s">
        <v>101</v>
      </c>
      <c r="J102" s="4">
        <v>5</v>
      </c>
      <c r="K102" s="4">
        <v>5</v>
      </c>
      <c r="L102" s="4">
        <v>0</v>
      </c>
    </row>
    <row r="103" spans="1:12" ht="13" x14ac:dyDescent="0.15">
      <c r="A103" s="3" t="s">
        <v>121</v>
      </c>
      <c r="B103" s="3" t="s">
        <v>122</v>
      </c>
      <c r="C103" s="3" t="s">
        <v>97</v>
      </c>
      <c r="D103" s="4">
        <v>8</v>
      </c>
      <c r="E103" s="4" t="s">
        <v>255</v>
      </c>
      <c r="F103" s="3" t="s">
        <v>108</v>
      </c>
      <c r="G103" s="19">
        <v>1</v>
      </c>
      <c r="H103" s="3" t="s">
        <v>92</v>
      </c>
      <c r="I103" s="3" t="s">
        <v>93</v>
      </c>
      <c r="J103" s="4">
        <v>4</v>
      </c>
      <c r="K103" s="4">
        <v>4</v>
      </c>
      <c r="L103" s="4">
        <v>0</v>
      </c>
    </row>
    <row r="104" spans="1:12" ht="13" x14ac:dyDescent="0.15">
      <c r="A104" s="3" t="s">
        <v>130</v>
      </c>
      <c r="B104" s="3" t="s">
        <v>88</v>
      </c>
      <c r="C104" s="3" t="s">
        <v>97</v>
      </c>
      <c r="D104" s="4">
        <v>8</v>
      </c>
      <c r="E104" s="4" t="s">
        <v>255</v>
      </c>
      <c r="F104" s="3" t="s">
        <v>108</v>
      </c>
      <c r="G104" s="19">
        <v>1</v>
      </c>
      <c r="H104" s="3" t="s">
        <v>92</v>
      </c>
      <c r="I104" s="3" t="s">
        <v>99</v>
      </c>
      <c r="J104" s="4">
        <v>4</v>
      </c>
      <c r="K104" s="4">
        <v>4</v>
      </c>
      <c r="L104" s="4">
        <v>0</v>
      </c>
    </row>
    <row r="105" spans="1:12" ht="13" x14ac:dyDescent="0.15">
      <c r="A105" s="3" t="s">
        <v>137</v>
      </c>
      <c r="B105" s="3" t="s">
        <v>113</v>
      </c>
      <c r="C105" s="3" t="s">
        <v>108</v>
      </c>
      <c r="D105" s="4">
        <v>8</v>
      </c>
      <c r="E105" s="4" t="s">
        <v>255</v>
      </c>
      <c r="F105" s="3" t="s">
        <v>108</v>
      </c>
      <c r="G105" s="19">
        <v>1</v>
      </c>
      <c r="H105" s="3" t="s">
        <v>92</v>
      </c>
      <c r="I105" s="3" t="s">
        <v>99</v>
      </c>
      <c r="J105" s="4">
        <v>5</v>
      </c>
      <c r="K105" s="4">
        <v>5</v>
      </c>
      <c r="L105" s="4">
        <v>0</v>
      </c>
    </row>
    <row r="106" spans="1:12" ht="13" x14ac:dyDescent="0.15">
      <c r="A106" s="3" t="s">
        <v>145</v>
      </c>
      <c r="B106" s="3" t="s">
        <v>113</v>
      </c>
      <c r="C106" s="3" t="s">
        <v>146</v>
      </c>
      <c r="D106" s="4">
        <v>8</v>
      </c>
      <c r="E106" s="4" t="s">
        <v>255</v>
      </c>
      <c r="F106" s="3" t="s">
        <v>95</v>
      </c>
      <c r="G106" s="19">
        <v>1</v>
      </c>
      <c r="H106" s="3" t="s">
        <v>92</v>
      </c>
      <c r="I106" s="3" t="s">
        <v>99</v>
      </c>
      <c r="J106" s="4">
        <v>5</v>
      </c>
      <c r="K106" s="4">
        <v>4</v>
      </c>
      <c r="L106" s="3" t="s">
        <v>153</v>
      </c>
    </row>
    <row r="107" spans="1:12" ht="13" x14ac:dyDescent="0.15">
      <c r="A107" s="3" t="s">
        <v>156</v>
      </c>
      <c r="B107" s="3" t="s">
        <v>88</v>
      </c>
      <c r="C107" s="3" t="s">
        <v>97</v>
      </c>
      <c r="D107" s="4">
        <v>8</v>
      </c>
      <c r="E107" s="4" t="s">
        <v>255</v>
      </c>
      <c r="F107" s="3" t="s">
        <v>108</v>
      </c>
      <c r="G107" s="19">
        <v>1</v>
      </c>
      <c r="H107" s="3" t="s">
        <v>92</v>
      </c>
      <c r="I107" s="3" t="s">
        <v>99</v>
      </c>
      <c r="J107" s="4">
        <v>5</v>
      </c>
      <c r="K107" s="4">
        <v>5</v>
      </c>
      <c r="L107" s="3" t="s">
        <v>161</v>
      </c>
    </row>
    <row r="108" spans="1:12" ht="13" x14ac:dyDescent="0.15">
      <c r="A108" s="3" t="s">
        <v>164</v>
      </c>
      <c r="B108" s="3" t="s">
        <v>88</v>
      </c>
      <c r="C108" s="3" t="s">
        <v>97</v>
      </c>
      <c r="D108" s="4">
        <v>8</v>
      </c>
      <c r="E108" s="4" t="s">
        <v>255</v>
      </c>
      <c r="F108" s="3" t="s">
        <v>108</v>
      </c>
      <c r="G108" s="19">
        <v>1</v>
      </c>
      <c r="H108" s="3" t="s">
        <v>92</v>
      </c>
      <c r="I108" s="3" t="s">
        <v>99</v>
      </c>
      <c r="J108" s="4">
        <v>4</v>
      </c>
      <c r="K108" s="4">
        <v>4</v>
      </c>
      <c r="L108" s="4">
        <v>0</v>
      </c>
    </row>
    <row r="109" spans="1:12" ht="13" x14ac:dyDescent="0.15">
      <c r="A109" s="3" t="s">
        <v>174</v>
      </c>
      <c r="B109" s="3" t="s">
        <v>88</v>
      </c>
      <c r="C109" s="3" t="s">
        <v>89</v>
      </c>
      <c r="D109" s="4">
        <v>8</v>
      </c>
      <c r="E109" s="4" t="s">
        <v>255</v>
      </c>
      <c r="F109" s="3" t="s">
        <v>108</v>
      </c>
      <c r="G109" s="19">
        <v>0</v>
      </c>
      <c r="H109" s="3" t="s">
        <v>92</v>
      </c>
      <c r="I109" s="3" t="s">
        <v>101</v>
      </c>
      <c r="J109" s="4">
        <v>3</v>
      </c>
      <c r="K109" s="4">
        <v>3</v>
      </c>
      <c r="L109" s="4">
        <v>0</v>
      </c>
    </row>
    <row r="110" spans="1:12" ht="13" x14ac:dyDescent="0.15">
      <c r="A110" s="3" t="s">
        <v>181</v>
      </c>
      <c r="B110" s="3" t="s">
        <v>122</v>
      </c>
      <c r="C110" s="3" t="s">
        <v>108</v>
      </c>
      <c r="D110" s="4">
        <v>8</v>
      </c>
      <c r="E110" s="4" t="s">
        <v>255</v>
      </c>
      <c r="F110" s="3" t="s">
        <v>95</v>
      </c>
      <c r="G110" s="19">
        <v>1</v>
      </c>
      <c r="H110" s="3" t="s">
        <v>92</v>
      </c>
      <c r="I110" s="3" t="s">
        <v>99</v>
      </c>
      <c r="J110" s="4">
        <v>4</v>
      </c>
      <c r="K110" s="4">
        <v>4</v>
      </c>
      <c r="L110" s="4">
        <v>0</v>
      </c>
    </row>
    <row r="111" spans="1:12" ht="13" x14ac:dyDescent="0.15">
      <c r="A111" s="3" t="s">
        <v>183</v>
      </c>
      <c r="B111" s="3" t="s">
        <v>88</v>
      </c>
      <c r="C111" s="3" t="s">
        <v>89</v>
      </c>
      <c r="D111" s="4">
        <v>8</v>
      </c>
      <c r="E111" s="4" t="s">
        <v>255</v>
      </c>
      <c r="F111" s="3" t="s">
        <v>95</v>
      </c>
      <c r="G111" s="19">
        <v>1</v>
      </c>
      <c r="H111" s="3" t="s">
        <v>92</v>
      </c>
      <c r="I111" s="3" t="s">
        <v>99</v>
      </c>
      <c r="J111" s="4">
        <v>4</v>
      </c>
      <c r="K111" s="4">
        <v>4</v>
      </c>
      <c r="L111" s="4">
        <v>0</v>
      </c>
    </row>
    <row r="112" spans="1:12" ht="13" x14ac:dyDescent="0.15">
      <c r="A112" s="3" t="s">
        <v>189</v>
      </c>
      <c r="B112" s="3" t="s">
        <v>88</v>
      </c>
      <c r="C112" s="3" t="s">
        <v>97</v>
      </c>
      <c r="D112" s="4">
        <v>8</v>
      </c>
      <c r="E112" s="4" t="s">
        <v>255</v>
      </c>
      <c r="F112" s="3" t="s">
        <v>95</v>
      </c>
      <c r="G112" s="19">
        <v>1</v>
      </c>
      <c r="H112" s="3" t="s">
        <v>92</v>
      </c>
      <c r="I112" s="3" t="s">
        <v>99</v>
      </c>
      <c r="J112" s="4">
        <v>4</v>
      </c>
      <c r="K112" s="4">
        <v>4</v>
      </c>
      <c r="L112" s="4">
        <v>0</v>
      </c>
    </row>
    <row r="113" spans="1:12" ht="13" x14ac:dyDescent="0.15">
      <c r="A113" s="3" t="s">
        <v>196</v>
      </c>
      <c r="B113" s="3" t="s">
        <v>113</v>
      </c>
      <c r="C113" s="3" t="s">
        <v>108</v>
      </c>
      <c r="D113" s="4">
        <v>8</v>
      </c>
      <c r="E113" s="4" t="s">
        <v>255</v>
      </c>
      <c r="F113" s="3" t="s">
        <v>108</v>
      </c>
      <c r="G113" s="19">
        <v>1</v>
      </c>
      <c r="H113" s="3" t="s">
        <v>92</v>
      </c>
      <c r="I113" s="3" t="s">
        <v>99</v>
      </c>
      <c r="J113" s="4">
        <v>4</v>
      </c>
      <c r="K113" s="4">
        <v>4</v>
      </c>
      <c r="L113" s="3" t="s">
        <v>202</v>
      </c>
    </row>
    <row r="114" spans="1:12" ht="13" x14ac:dyDescent="0.15">
      <c r="A114" s="3" t="s">
        <v>87</v>
      </c>
      <c r="B114" s="3" t="s">
        <v>88</v>
      </c>
      <c r="C114" s="3" t="s">
        <v>89</v>
      </c>
      <c r="D114" s="4">
        <v>9</v>
      </c>
      <c r="E114" s="4" t="s">
        <v>255</v>
      </c>
      <c r="F114" s="3" t="s">
        <v>108</v>
      </c>
      <c r="G114" s="19">
        <v>1</v>
      </c>
      <c r="H114" s="3" t="s">
        <v>98</v>
      </c>
      <c r="I114" s="3" t="s">
        <v>101</v>
      </c>
      <c r="J114" s="4">
        <v>2</v>
      </c>
      <c r="K114" s="4">
        <v>3</v>
      </c>
      <c r="L114" s="3" t="s">
        <v>110</v>
      </c>
    </row>
    <row r="115" spans="1:12" ht="13" x14ac:dyDescent="0.15">
      <c r="A115" s="3" t="s">
        <v>112</v>
      </c>
      <c r="B115" s="3" t="s">
        <v>113</v>
      </c>
      <c r="C115" s="3" t="s">
        <v>95</v>
      </c>
      <c r="D115" s="4">
        <v>9</v>
      </c>
      <c r="E115" s="4" t="s">
        <v>255</v>
      </c>
      <c r="F115" s="3" t="s">
        <v>108</v>
      </c>
      <c r="G115" s="19">
        <v>1</v>
      </c>
      <c r="H115" s="3" t="s">
        <v>92</v>
      </c>
      <c r="I115" s="3" t="s">
        <v>93</v>
      </c>
      <c r="J115" s="4">
        <v>5</v>
      </c>
      <c r="K115" s="4">
        <v>5</v>
      </c>
      <c r="L115" s="4">
        <v>0</v>
      </c>
    </row>
    <row r="116" spans="1:12" ht="13" x14ac:dyDescent="0.15">
      <c r="A116" s="3" t="s">
        <v>115</v>
      </c>
      <c r="B116" s="3" t="s">
        <v>113</v>
      </c>
      <c r="C116" s="3" t="s">
        <v>95</v>
      </c>
      <c r="D116" s="4">
        <v>9</v>
      </c>
      <c r="E116" s="4" t="s">
        <v>255</v>
      </c>
      <c r="F116" s="3" t="s">
        <v>108</v>
      </c>
      <c r="G116" s="19">
        <v>1</v>
      </c>
      <c r="H116" s="3" t="s">
        <v>92</v>
      </c>
      <c r="I116" s="3" t="s">
        <v>99</v>
      </c>
      <c r="J116" s="4">
        <v>5</v>
      </c>
      <c r="K116" s="4">
        <v>5</v>
      </c>
      <c r="L116" s="4">
        <v>0</v>
      </c>
    </row>
    <row r="117" spans="1:12" ht="13" x14ac:dyDescent="0.15">
      <c r="A117" s="3" t="s">
        <v>121</v>
      </c>
      <c r="B117" s="3" t="s">
        <v>122</v>
      </c>
      <c r="C117" s="3" t="s">
        <v>97</v>
      </c>
      <c r="D117" s="4">
        <v>9</v>
      </c>
      <c r="E117" s="4" t="s">
        <v>255</v>
      </c>
      <c r="F117" s="3" t="s">
        <v>108</v>
      </c>
      <c r="G117" s="19">
        <v>1</v>
      </c>
      <c r="H117" s="3" t="s">
        <v>92</v>
      </c>
      <c r="I117" s="3" t="s">
        <v>93</v>
      </c>
      <c r="J117" s="4">
        <v>3</v>
      </c>
      <c r="K117" s="4">
        <v>3</v>
      </c>
      <c r="L117" s="3" t="s">
        <v>219</v>
      </c>
    </row>
    <row r="118" spans="1:12" ht="13" x14ac:dyDescent="0.15">
      <c r="A118" s="3" t="s">
        <v>130</v>
      </c>
      <c r="B118" s="3" t="s">
        <v>88</v>
      </c>
      <c r="C118" s="3" t="s">
        <v>97</v>
      </c>
      <c r="D118" s="4">
        <v>9</v>
      </c>
      <c r="E118" s="4" t="s">
        <v>255</v>
      </c>
      <c r="F118" s="3" t="s">
        <v>108</v>
      </c>
      <c r="G118" s="19">
        <v>1</v>
      </c>
      <c r="H118" s="3" t="s">
        <v>92</v>
      </c>
      <c r="I118" s="3" t="s">
        <v>93</v>
      </c>
      <c r="J118" s="4">
        <v>4</v>
      </c>
      <c r="K118" s="4">
        <v>4</v>
      </c>
      <c r="L118" s="3" t="s">
        <v>133</v>
      </c>
    </row>
    <row r="119" spans="1:12" ht="13" x14ac:dyDescent="0.15">
      <c r="A119" s="3" t="s">
        <v>137</v>
      </c>
      <c r="B119" s="3" t="s">
        <v>113</v>
      </c>
      <c r="C119" s="3" t="s">
        <v>108</v>
      </c>
      <c r="D119" s="4">
        <v>9</v>
      </c>
      <c r="E119" s="4" t="s">
        <v>255</v>
      </c>
      <c r="F119" s="3" t="s">
        <v>108</v>
      </c>
      <c r="G119" s="19">
        <v>1</v>
      </c>
      <c r="H119" s="3" t="s">
        <v>92</v>
      </c>
      <c r="I119" s="3" t="s">
        <v>93</v>
      </c>
      <c r="J119" s="4">
        <v>5</v>
      </c>
      <c r="K119" s="4">
        <v>4</v>
      </c>
      <c r="L119" s="3" t="s">
        <v>142</v>
      </c>
    </row>
    <row r="120" spans="1:12" ht="13" x14ac:dyDescent="0.15">
      <c r="A120" s="3" t="s">
        <v>145</v>
      </c>
      <c r="B120" s="3" t="s">
        <v>113</v>
      </c>
      <c r="C120" s="3" t="s">
        <v>146</v>
      </c>
      <c r="D120" s="4">
        <v>9</v>
      </c>
      <c r="E120" s="4" t="s">
        <v>255</v>
      </c>
      <c r="F120" s="3" t="s">
        <v>108</v>
      </c>
      <c r="G120" s="19">
        <v>1</v>
      </c>
      <c r="H120" s="3" t="s">
        <v>92</v>
      </c>
      <c r="I120" s="3" t="s">
        <v>99</v>
      </c>
      <c r="J120" s="4">
        <v>5</v>
      </c>
      <c r="K120" s="4">
        <v>4</v>
      </c>
      <c r="L120" s="4">
        <v>0</v>
      </c>
    </row>
    <row r="121" spans="1:12" ht="13" x14ac:dyDescent="0.15">
      <c r="A121" s="3" t="s">
        <v>156</v>
      </c>
      <c r="B121" s="3" t="s">
        <v>88</v>
      </c>
      <c r="C121" s="3" t="s">
        <v>97</v>
      </c>
      <c r="D121" s="4">
        <v>9</v>
      </c>
      <c r="E121" s="4" t="s">
        <v>255</v>
      </c>
      <c r="F121" s="3" t="s">
        <v>108</v>
      </c>
      <c r="G121" s="19">
        <v>1</v>
      </c>
      <c r="H121" s="3" t="s">
        <v>92</v>
      </c>
      <c r="I121" s="3" t="s">
        <v>99</v>
      </c>
      <c r="J121" s="4">
        <v>5</v>
      </c>
      <c r="K121" s="4">
        <v>5</v>
      </c>
      <c r="L121" s="3" t="s">
        <v>162</v>
      </c>
    </row>
    <row r="122" spans="1:12" ht="13" x14ac:dyDescent="0.15">
      <c r="A122" s="3" t="s">
        <v>164</v>
      </c>
      <c r="B122" s="3" t="s">
        <v>88</v>
      </c>
      <c r="C122" s="3" t="s">
        <v>97</v>
      </c>
      <c r="D122" s="4">
        <v>9</v>
      </c>
      <c r="E122" s="4" t="s">
        <v>255</v>
      </c>
      <c r="F122" s="3" t="s">
        <v>108</v>
      </c>
      <c r="G122" s="19">
        <v>1</v>
      </c>
      <c r="H122" s="3" t="s">
        <v>98</v>
      </c>
      <c r="I122" s="3" t="s">
        <v>99</v>
      </c>
      <c r="J122" s="4">
        <v>3</v>
      </c>
      <c r="K122" s="4">
        <v>4</v>
      </c>
      <c r="L122" s="3" t="s">
        <v>172</v>
      </c>
    </row>
    <row r="123" spans="1:12" ht="13" x14ac:dyDescent="0.15">
      <c r="A123" s="3" t="s">
        <v>174</v>
      </c>
      <c r="B123" s="3" t="s">
        <v>88</v>
      </c>
      <c r="C123" s="3" t="s">
        <v>89</v>
      </c>
      <c r="D123" s="4">
        <v>9</v>
      </c>
      <c r="E123" s="4" t="s">
        <v>255</v>
      </c>
      <c r="F123" s="3" t="s">
        <v>108</v>
      </c>
      <c r="G123" s="19">
        <v>1</v>
      </c>
      <c r="H123" s="3" t="s">
        <v>92</v>
      </c>
      <c r="I123" s="3" t="s">
        <v>99</v>
      </c>
      <c r="J123" s="4">
        <v>5</v>
      </c>
      <c r="K123" s="4">
        <v>4</v>
      </c>
      <c r="L123" s="4">
        <v>0</v>
      </c>
    </row>
    <row r="124" spans="1:12" ht="13" x14ac:dyDescent="0.15">
      <c r="A124" s="3" t="s">
        <v>181</v>
      </c>
      <c r="B124" s="3" t="s">
        <v>122</v>
      </c>
      <c r="C124" s="3" t="s">
        <v>108</v>
      </c>
      <c r="D124" s="4">
        <v>9</v>
      </c>
      <c r="E124" s="4" t="s">
        <v>255</v>
      </c>
      <c r="F124" s="3" t="s">
        <v>108</v>
      </c>
      <c r="G124" s="19">
        <v>1</v>
      </c>
      <c r="H124" s="3" t="s">
        <v>92</v>
      </c>
      <c r="I124" s="3" t="s">
        <v>99</v>
      </c>
      <c r="J124" s="4">
        <v>1</v>
      </c>
      <c r="K124" s="4">
        <v>2</v>
      </c>
      <c r="L124" s="4">
        <v>0</v>
      </c>
    </row>
    <row r="125" spans="1:12" ht="13" x14ac:dyDescent="0.15">
      <c r="A125" s="3" t="s">
        <v>183</v>
      </c>
      <c r="B125" s="3" t="s">
        <v>88</v>
      </c>
      <c r="C125" s="3" t="s">
        <v>89</v>
      </c>
      <c r="D125" s="4">
        <v>9</v>
      </c>
      <c r="E125" s="4" t="s">
        <v>255</v>
      </c>
      <c r="F125" s="3" t="s">
        <v>108</v>
      </c>
      <c r="G125" s="19">
        <v>1</v>
      </c>
      <c r="H125" s="3" t="s">
        <v>92</v>
      </c>
      <c r="I125" s="3" t="s">
        <v>93</v>
      </c>
      <c r="J125" s="4">
        <v>3</v>
      </c>
      <c r="K125" s="4">
        <v>4</v>
      </c>
      <c r="L125" s="4">
        <v>0</v>
      </c>
    </row>
    <row r="126" spans="1:12" ht="13" x14ac:dyDescent="0.15">
      <c r="A126" s="3" t="s">
        <v>189</v>
      </c>
      <c r="B126" s="3" t="s">
        <v>88</v>
      </c>
      <c r="C126" s="3" t="s">
        <v>97</v>
      </c>
      <c r="D126" s="4">
        <v>9</v>
      </c>
      <c r="E126" s="4" t="s">
        <v>255</v>
      </c>
      <c r="F126" s="3" t="s">
        <v>108</v>
      </c>
      <c r="G126" s="19">
        <v>1</v>
      </c>
      <c r="H126" s="3" t="s">
        <v>92</v>
      </c>
      <c r="I126" s="3" t="s">
        <v>99</v>
      </c>
      <c r="J126" s="4">
        <v>4</v>
      </c>
      <c r="K126" s="4">
        <v>4</v>
      </c>
      <c r="L126" s="3" t="s">
        <v>194</v>
      </c>
    </row>
    <row r="127" spans="1:12" ht="13" x14ac:dyDescent="0.15">
      <c r="A127" s="3" t="s">
        <v>196</v>
      </c>
      <c r="B127" s="3" t="s">
        <v>113</v>
      </c>
      <c r="C127" s="3" t="s">
        <v>108</v>
      </c>
      <c r="D127" s="4">
        <v>9</v>
      </c>
      <c r="E127" s="4" t="s">
        <v>255</v>
      </c>
      <c r="F127" s="3" t="s">
        <v>108</v>
      </c>
      <c r="G127" s="19">
        <v>1</v>
      </c>
      <c r="H127" s="3" t="s">
        <v>92</v>
      </c>
      <c r="I127" s="3" t="s">
        <v>99</v>
      </c>
      <c r="J127" s="4">
        <v>4</v>
      </c>
      <c r="K127" s="4">
        <v>4</v>
      </c>
      <c r="L127" s="4">
        <v>0</v>
      </c>
    </row>
    <row r="128" spans="1:12" ht="13" x14ac:dyDescent="0.15">
      <c r="A128" s="3" t="s">
        <v>87</v>
      </c>
      <c r="B128" s="3" t="s">
        <v>88</v>
      </c>
      <c r="C128" s="3" t="s">
        <v>89</v>
      </c>
      <c r="D128" s="4">
        <v>10</v>
      </c>
      <c r="E128" s="4" t="s">
        <v>256</v>
      </c>
      <c r="F128" s="3" t="s">
        <v>108</v>
      </c>
      <c r="G128" s="19">
        <v>1</v>
      </c>
      <c r="H128" s="3" t="s">
        <v>98</v>
      </c>
      <c r="I128" s="3" t="s">
        <v>101</v>
      </c>
      <c r="J128" s="4">
        <v>3</v>
      </c>
      <c r="K128" s="4">
        <v>3</v>
      </c>
      <c r="L128" s="3" t="s">
        <v>111</v>
      </c>
    </row>
    <row r="129" spans="1:12" ht="13" x14ac:dyDescent="0.15">
      <c r="A129" s="3" t="s">
        <v>112</v>
      </c>
      <c r="B129" s="3" t="s">
        <v>113</v>
      </c>
      <c r="C129" s="3" t="s">
        <v>95</v>
      </c>
      <c r="D129" s="4">
        <v>10</v>
      </c>
      <c r="E129" s="4" t="s">
        <v>256</v>
      </c>
      <c r="F129" s="3" t="s">
        <v>108</v>
      </c>
      <c r="G129" s="19">
        <v>1</v>
      </c>
      <c r="H129" s="3" t="s">
        <v>92</v>
      </c>
      <c r="I129" s="3" t="s">
        <v>99</v>
      </c>
      <c r="J129" s="4">
        <v>4</v>
      </c>
      <c r="K129" s="4">
        <v>3</v>
      </c>
      <c r="L129" s="3" t="s">
        <v>114</v>
      </c>
    </row>
    <row r="130" spans="1:12" ht="13" x14ac:dyDescent="0.15">
      <c r="A130" s="3" t="s">
        <v>115</v>
      </c>
      <c r="B130" s="3" t="s">
        <v>113</v>
      </c>
      <c r="C130" s="3" t="s">
        <v>95</v>
      </c>
      <c r="D130" s="4">
        <v>10</v>
      </c>
      <c r="E130" s="4" t="s">
        <v>256</v>
      </c>
      <c r="F130" s="3" t="s">
        <v>95</v>
      </c>
      <c r="G130" s="19">
        <v>1</v>
      </c>
      <c r="H130" s="3" t="s">
        <v>98</v>
      </c>
      <c r="I130" s="3" t="s">
        <v>101</v>
      </c>
      <c r="J130" s="4">
        <v>5</v>
      </c>
      <c r="K130" s="4">
        <v>2</v>
      </c>
      <c r="L130" s="3" t="s">
        <v>120</v>
      </c>
    </row>
    <row r="131" spans="1:12" ht="13" x14ac:dyDescent="0.15">
      <c r="A131" s="3" t="s">
        <v>121</v>
      </c>
      <c r="B131" s="3" t="s">
        <v>122</v>
      </c>
      <c r="C131" s="3" t="s">
        <v>97</v>
      </c>
      <c r="D131" s="4">
        <v>10</v>
      </c>
      <c r="E131" s="4" t="s">
        <v>256</v>
      </c>
      <c r="F131" s="3" t="s">
        <v>95</v>
      </c>
      <c r="G131" s="19">
        <v>1</v>
      </c>
      <c r="H131" s="3" t="s">
        <v>98</v>
      </c>
      <c r="I131" s="3" t="s">
        <v>99</v>
      </c>
      <c r="J131" s="4">
        <v>2</v>
      </c>
      <c r="K131" s="4">
        <v>2</v>
      </c>
      <c r="L131" s="3" t="s">
        <v>220</v>
      </c>
    </row>
    <row r="132" spans="1:12" ht="13" x14ac:dyDescent="0.15">
      <c r="A132" s="3" t="s">
        <v>130</v>
      </c>
      <c r="B132" s="3" t="s">
        <v>88</v>
      </c>
      <c r="C132" s="3" t="s">
        <v>97</v>
      </c>
      <c r="D132" s="4">
        <v>10</v>
      </c>
      <c r="E132" s="4" t="s">
        <v>256</v>
      </c>
      <c r="F132" s="3" t="s">
        <v>108</v>
      </c>
      <c r="G132" s="19">
        <v>1</v>
      </c>
      <c r="H132" s="3" t="s">
        <v>92</v>
      </c>
      <c r="I132" s="3" t="s">
        <v>99</v>
      </c>
      <c r="J132" s="4">
        <v>2</v>
      </c>
      <c r="K132" s="4">
        <v>2</v>
      </c>
      <c r="L132" s="3" t="s">
        <v>134</v>
      </c>
    </row>
    <row r="133" spans="1:12" ht="13" x14ac:dyDescent="0.15">
      <c r="A133" s="3" t="s">
        <v>137</v>
      </c>
      <c r="B133" s="3" t="s">
        <v>113</v>
      </c>
      <c r="C133" s="3" t="s">
        <v>108</v>
      </c>
      <c r="D133" s="4">
        <v>10</v>
      </c>
      <c r="E133" s="4" t="s">
        <v>256</v>
      </c>
      <c r="F133" s="3" t="s">
        <v>108</v>
      </c>
      <c r="G133" s="19">
        <v>0</v>
      </c>
      <c r="H133" s="3" t="s">
        <v>98</v>
      </c>
      <c r="I133" s="3" t="s">
        <v>101</v>
      </c>
      <c r="J133" s="4">
        <v>3</v>
      </c>
      <c r="K133" s="4">
        <v>3</v>
      </c>
      <c r="L133" s="3" t="s">
        <v>143</v>
      </c>
    </row>
    <row r="134" spans="1:12" ht="13" x14ac:dyDescent="0.15">
      <c r="A134" s="3" t="s">
        <v>145</v>
      </c>
      <c r="B134" s="3" t="s">
        <v>113</v>
      </c>
      <c r="C134" s="3" t="s">
        <v>146</v>
      </c>
      <c r="D134" s="4">
        <v>10</v>
      </c>
      <c r="E134" s="4" t="s">
        <v>256</v>
      </c>
      <c r="F134" s="3" t="s">
        <v>95</v>
      </c>
      <c r="G134" s="19">
        <v>1</v>
      </c>
      <c r="H134" s="3" t="s">
        <v>98</v>
      </c>
      <c r="I134" s="3" t="s">
        <v>99</v>
      </c>
      <c r="J134" s="4">
        <v>1</v>
      </c>
      <c r="K134" s="4">
        <v>1</v>
      </c>
      <c r="L134" s="3" t="s">
        <v>154</v>
      </c>
    </row>
    <row r="135" spans="1:12" ht="13" x14ac:dyDescent="0.15">
      <c r="A135" s="3" t="s">
        <v>156</v>
      </c>
      <c r="B135" s="3" t="s">
        <v>88</v>
      </c>
      <c r="C135" s="3" t="s">
        <v>97</v>
      </c>
      <c r="D135" s="4">
        <v>10</v>
      </c>
      <c r="E135" s="4" t="s">
        <v>256</v>
      </c>
      <c r="F135" s="3" t="s">
        <v>108</v>
      </c>
      <c r="G135" s="19">
        <v>1</v>
      </c>
      <c r="H135" s="3" t="s">
        <v>92</v>
      </c>
      <c r="I135" s="3" t="s">
        <v>99</v>
      </c>
      <c r="J135" s="4">
        <v>5</v>
      </c>
      <c r="K135" s="4">
        <v>5</v>
      </c>
      <c r="L135" s="3" t="s">
        <v>221</v>
      </c>
    </row>
    <row r="136" spans="1:12" ht="13" x14ac:dyDescent="0.15">
      <c r="A136" s="3" t="s">
        <v>164</v>
      </c>
      <c r="B136" s="3" t="s">
        <v>88</v>
      </c>
      <c r="C136" s="3" t="s">
        <v>97</v>
      </c>
      <c r="D136" s="4">
        <v>10</v>
      </c>
      <c r="E136" s="4" t="s">
        <v>256</v>
      </c>
      <c r="F136" s="3" t="s">
        <v>108</v>
      </c>
      <c r="G136" s="19">
        <v>1</v>
      </c>
      <c r="H136" s="3" t="s">
        <v>92</v>
      </c>
      <c r="I136" s="3" t="s">
        <v>99</v>
      </c>
      <c r="J136" s="4">
        <v>5</v>
      </c>
      <c r="K136" s="4">
        <v>5</v>
      </c>
      <c r="L136" s="4">
        <v>0</v>
      </c>
    </row>
    <row r="137" spans="1:12" ht="13" x14ac:dyDescent="0.15">
      <c r="A137" s="3" t="s">
        <v>174</v>
      </c>
      <c r="B137" s="3" t="s">
        <v>88</v>
      </c>
      <c r="C137" s="3" t="s">
        <v>89</v>
      </c>
      <c r="D137" s="4">
        <v>10</v>
      </c>
      <c r="E137" s="4" t="s">
        <v>256</v>
      </c>
      <c r="F137" s="3" t="s">
        <v>108</v>
      </c>
      <c r="G137" s="19">
        <v>1</v>
      </c>
      <c r="H137" s="3" t="s">
        <v>92</v>
      </c>
      <c r="I137" s="3" t="s">
        <v>101</v>
      </c>
      <c r="J137" s="4">
        <v>3</v>
      </c>
      <c r="K137" s="4">
        <v>2</v>
      </c>
      <c r="L137" s="3" t="s">
        <v>179</v>
      </c>
    </row>
    <row r="138" spans="1:12" ht="13" x14ac:dyDescent="0.15">
      <c r="A138" s="3" t="s">
        <v>181</v>
      </c>
      <c r="B138" s="3" t="s">
        <v>122</v>
      </c>
      <c r="C138" s="3" t="s">
        <v>108</v>
      </c>
      <c r="D138" s="4">
        <v>10</v>
      </c>
      <c r="E138" s="4" t="s">
        <v>256</v>
      </c>
      <c r="F138" s="3" t="s">
        <v>95</v>
      </c>
      <c r="G138" s="19">
        <v>0</v>
      </c>
      <c r="H138" s="3" t="s">
        <v>92</v>
      </c>
      <c r="I138" s="3" t="s">
        <v>99</v>
      </c>
      <c r="J138" s="4">
        <v>1</v>
      </c>
      <c r="K138" s="4">
        <v>1</v>
      </c>
      <c r="L138" s="4">
        <v>0</v>
      </c>
    </row>
    <row r="139" spans="1:12" ht="13" x14ac:dyDescent="0.15">
      <c r="A139" s="3" t="s">
        <v>183</v>
      </c>
      <c r="B139" s="3" t="s">
        <v>88</v>
      </c>
      <c r="C139" s="3" t="s">
        <v>89</v>
      </c>
      <c r="D139" s="4">
        <v>10</v>
      </c>
      <c r="E139" s="4" t="s">
        <v>256</v>
      </c>
      <c r="F139" s="3" t="s">
        <v>108</v>
      </c>
      <c r="G139" s="19">
        <v>1</v>
      </c>
      <c r="H139" s="3" t="s">
        <v>92</v>
      </c>
      <c r="I139" s="3" t="s">
        <v>99</v>
      </c>
      <c r="J139" s="4">
        <v>4</v>
      </c>
      <c r="K139" s="4">
        <v>4</v>
      </c>
      <c r="L139" s="4">
        <v>0</v>
      </c>
    </row>
    <row r="140" spans="1:12" ht="13" x14ac:dyDescent="0.15">
      <c r="A140" s="3" t="s">
        <v>189</v>
      </c>
      <c r="B140" s="3" t="s">
        <v>88</v>
      </c>
      <c r="C140" s="3" t="s">
        <v>97</v>
      </c>
      <c r="D140" s="4">
        <v>10</v>
      </c>
      <c r="E140" s="4" t="s">
        <v>256</v>
      </c>
      <c r="F140" s="3" t="s">
        <v>95</v>
      </c>
      <c r="G140" s="19">
        <v>1</v>
      </c>
      <c r="H140" s="3" t="s">
        <v>92</v>
      </c>
      <c r="I140" s="3" t="s">
        <v>99</v>
      </c>
      <c r="J140" s="4">
        <v>4</v>
      </c>
      <c r="K140" s="4">
        <v>4</v>
      </c>
      <c r="L140" s="4">
        <v>0</v>
      </c>
    </row>
    <row r="141" spans="1:12" ht="13" x14ac:dyDescent="0.15">
      <c r="A141" s="3" t="s">
        <v>196</v>
      </c>
      <c r="B141" s="3" t="s">
        <v>113</v>
      </c>
      <c r="C141" s="3" t="s">
        <v>108</v>
      </c>
      <c r="D141" s="4">
        <v>10</v>
      </c>
      <c r="E141" s="4" t="s">
        <v>256</v>
      </c>
      <c r="F141" s="3" t="s">
        <v>108</v>
      </c>
      <c r="G141" s="19">
        <v>1</v>
      </c>
      <c r="H141" s="3" t="s">
        <v>92</v>
      </c>
      <c r="I141" s="3" t="s">
        <v>99</v>
      </c>
      <c r="J141" s="4">
        <v>5</v>
      </c>
      <c r="K141" s="4">
        <v>5</v>
      </c>
      <c r="L141" s="4">
        <v>0</v>
      </c>
    </row>
    <row r="142" spans="1:12" ht="13" x14ac:dyDescent="0.15">
      <c r="A142" s="3" t="s">
        <v>87</v>
      </c>
      <c r="B142" s="3" t="s">
        <v>88</v>
      </c>
      <c r="C142" s="3" t="s">
        <v>89</v>
      </c>
      <c r="D142" s="4">
        <v>11</v>
      </c>
      <c r="E142" s="4" t="s">
        <v>256</v>
      </c>
      <c r="F142" s="3" t="s">
        <v>108</v>
      </c>
      <c r="G142" s="19">
        <v>1</v>
      </c>
      <c r="H142" s="3" t="s">
        <v>92</v>
      </c>
      <c r="I142" s="3" t="s">
        <v>101</v>
      </c>
      <c r="J142" s="4">
        <v>3</v>
      </c>
      <c r="K142" s="4">
        <v>3</v>
      </c>
      <c r="L142" s="4">
        <v>0</v>
      </c>
    </row>
    <row r="143" spans="1:12" ht="13" x14ac:dyDescent="0.15">
      <c r="A143" s="3" t="s">
        <v>112</v>
      </c>
      <c r="B143" s="3" t="s">
        <v>113</v>
      </c>
      <c r="C143" s="3" t="s">
        <v>95</v>
      </c>
      <c r="D143" s="4">
        <v>11</v>
      </c>
      <c r="E143" s="4" t="s">
        <v>256</v>
      </c>
      <c r="F143" s="3" t="s">
        <v>97</v>
      </c>
      <c r="G143" s="19">
        <v>1</v>
      </c>
      <c r="H143" s="3" t="s">
        <v>92</v>
      </c>
      <c r="I143" s="3" t="s">
        <v>93</v>
      </c>
      <c r="J143" s="4">
        <v>5</v>
      </c>
      <c r="K143" s="4">
        <v>4</v>
      </c>
      <c r="L143" s="4">
        <v>0</v>
      </c>
    </row>
    <row r="144" spans="1:12" ht="13" x14ac:dyDescent="0.15">
      <c r="A144" s="3" t="s">
        <v>115</v>
      </c>
      <c r="B144" s="3" t="s">
        <v>113</v>
      </c>
      <c r="C144" s="3" t="s">
        <v>95</v>
      </c>
      <c r="D144" s="4">
        <v>11</v>
      </c>
      <c r="E144" s="4" t="s">
        <v>256</v>
      </c>
      <c r="F144" s="3" t="s">
        <v>95</v>
      </c>
      <c r="G144" s="19">
        <v>1</v>
      </c>
      <c r="H144" s="3" t="s">
        <v>92</v>
      </c>
      <c r="I144" s="3" t="s">
        <v>99</v>
      </c>
      <c r="J144" s="4">
        <v>5</v>
      </c>
      <c r="K144" s="4">
        <v>5</v>
      </c>
      <c r="L144" s="4">
        <v>0</v>
      </c>
    </row>
    <row r="145" spans="1:12" ht="13" x14ac:dyDescent="0.15">
      <c r="A145" s="3" t="s">
        <v>121</v>
      </c>
      <c r="B145" s="3" t="s">
        <v>122</v>
      </c>
      <c r="C145" s="3" t="s">
        <v>97</v>
      </c>
      <c r="D145" s="4">
        <v>11</v>
      </c>
      <c r="E145" s="4" t="s">
        <v>256</v>
      </c>
      <c r="F145" s="3" t="s">
        <v>95</v>
      </c>
      <c r="G145" s="19">
        <v>1</v>
      </c>
      <c r="H145" s="3" t="s">
        <v>92</v>
      </c>
      <c r="I145" s="3" t="s">
        <v>99</v>
      </c>
      <c r="J145" s="4">
        <v>4</v>
      </c>
      <c r="K145" s="4">
        <v>4</v>
      </c>
      <c r="L145" s="4">
        <v>0</v>
      </c>
    </row>
    <row r="146" spans="1:12" ht="13" x14ac:dyDescent="0.15">
      <c r="A146" s="3" t="s">
        <v>130</v>
      </c>
      <c r="B146" s="3" t="s">
        <v>88</v>
      </c>
      <c r="C146" s="3" t="s">
        <v>97</v>
      </c>
      <c r="D146" s="4">
        <v>11</v>
      </c>
      <c r="E146" s="4" t="s">
        <v>256</v>
      </c>
      <c r="F146" s="3" t="s">
        <v>97</v>
      </c>
      <c r="G146" s="19">
        <v>1</v>
      </c>
      <c r="H146" s="3" t="s">
        <v>92</v>
      </c>
      <c r="I146" s="3" t="s">
        <v>99</v>
      </c>
      <c r="J146" s="4">
        <v>4</v>
      </c>
      <c r="K146" s="4">
        <v>4</v>
      </c>
      <c r="L146" s="3" t="s">
        <v>135</v>
      </c>
    </row>
    <row r="147" spans="1:12" ht="13" x14ac:dyDescent="0.15">
      <c r="A147" s="3" t="s">
        <v>137</v>
      </c>
      <c r="B147" s="3" t="s">
        <v>113</v>
      </c>
      <c r="C147" s="3" t="s">
        <v>108</v>
      </c>
      <c r="D147" s="4">
        <v>11</v>
      </c>
      <c r="E147" s="4" t="s">
        <v>256</v>
      </c>
      <c r="F147" s="3" t="s">
        <v>97</v>
      </c>
      <c r="G147" s="19">
        <v>1</v>
      </c>
      <c r="H147" s="3" t="s">
        <v>92</v>
      </c>
      <c r="I147" s="3" t="s">
        <v>99</v>
      </c>
      <c r="J147" s="4">
        <v>5</v>
      </c>
      <c r="K147" s="4">
        <v>4</v>
      </c>
      <c r="L147" s="3" t="s">
        <v>144</v>
      </c>
    </row>
    <row r="148" spans="1:12" ht="13" x14ac:dyDescent="0.15">
      <c r="A148" s="3" t="s">
        <v>145</v>
      </c>
      <c r="B148" s="3" t="s">
        <v>113</v>
      </c>
      <c r="C148" s="3" t="s">
        <v>146</v>
      </c>
      <c r="D148" s="4">
        <v>11</v>
      </c>
      <c r="E148" s="4" t="s">
        <v>256</v>
      </c>
      <c r="F148" s="3" t="s">
        <v>95</v>
      </c>
      <c r="G148" s="19">
        <v>1</v>
      </c>
      <c r="H148" s="3" t="s">
        <v>92</v>
      </c>
      <c r="I148" s="3" t="s">
        <v>99</v>
      </c>
      <c r="J148" s="4">
        <v>5</v>
      </c>
      <c r="K148" s="4">
        <v>4</v>
      </c>
      <c r="L148" s="4">
        <v>0</v>
      </c>
    </row>
    <row r="149" spans="1:12" ht="13" x14ac:dyDescent="0.15">
      <c r="A149" s="3" t="s">
        <v>156</v>
      </c>
      <c r="B149" s="3" t="s">
        <v>88</v>
      </c>
      <c r="C149" s="3" t="s">
        <v>97</v>
      </c>
      <c r="D149" s="4">
        <v>11</v>
      </c>
      <c r="E149" s="4" t="s">
        <v>256</v>
      </c>
      <c r="F149" s="3" t="s">
        <v>95</v>
      </c>
      <c r="G149" s="19">
        <v>1</v>
      </c>
      <c r="H149" s="3" t="s">
        <v>92</v>
      </c>
      <c r="I149" s="3" t="s">
        <v>93</v>
      </c>
      <c r="J149" s="4">
        <v>5</v>
      </c>
      <c r="K149" s="4">
        <v>4</v>
      </c>
      <c r="L149" s="3" t="s">
        <v>161</v>
      </c>
    </row>
    <row r="150" spans="1:12" ht="13" x14ac:dyDescent="0.15">
      <c r="A150" s="3" t="s">
        <v>164</v>
      </c>
      <c r="B150" s="3" t="s">
        <v>88</v>
      </c>
      <c r="C150" s="3" t="s">
        <v>97</v>
      </c>
      <c r="D150" s="4">
        <v>11</v>
      </c>
      <c r="E150" s="4" t="s">
        <v>256</v>
      </c>
      <c r="F150" s="3" t="s">
        <v>95</v>
      </c>
      <c r="G150" s="19">
        <v>1</v>
      </c>
      <c r="H150" s="3" t="s">
        <v>92</v>
      </c>
      <c r="I150" s="3" t="s">
        <v>99</v>
      </c>
      <c r="J150" s="4">
        <v>5</v>
      </c>
      <c r="K150" s="4">
        <v>5</v>
      </c>
      <c r="L150" s="4">
        <v>0</v>
      </c>
    </row>
    <row r="151" spans="1:12" ht="13" x14ac:dyDescent="0.15">
      <c r="A151" s="3" t="s">
        <v>174</v>
      </c>
      <c r="B151" s="3" t="s">
        <v>88</v>
      </c>
      <c r="C151" s="3" t="s">
        <v>89</v>
      </c>
      <c r="D151" s="4">
        <v>11</v>
      </c>
      <c r="E151" s="4" t="s">
        <v>256</v>
      </c>
      <c r="F151" s="3" t="s">
        <v>95</v>
      </c>
      <c r="G151" s="19">
        <v>1</v>
      </c>
      <c r="H151" s="3" t="s">
        <v>92</v>
      </c>
      <c r="I151" s="3" t="s">
        <v>99</v>
      </c>
      <c r="J151" s="4">
        <v>4</v>
      </c>
      <c r="K151" s="4">
        <v>4</v>
      </c>
      <c r="L151" s="4">
        <v>0</v>
      </c>
    </row>
    <row r="152" spans="1:12" ht="13" x14ac:dyDescent="0.15">
      <c r="A152" s="3" t="s">
        <v>181</v>
      </c>
      <c r="B152" s="3" t="s">
        <v>122</v>
      </c>
      <c r="C152" s="3" t="s">
        <v>108</v>
      </c>
      <c r="D152" s="4">
        <v>11</v>
      </c>
      <c r="E152" s="4" t="s">
        <v>256</v>
      </c>
      <c r="F152" s="3" t="s">
        <v>95</v>
      </c>
      <c r="G152" s="19">
        <v>1</v>
      </c>
      <c r="H152" s="3" t="s">
        <v>92</v>
      </c>
      <c r="I152" s="3" t="s">
        <v>99</v>
      </c>
      <c r="J152" s="4">
        <v>4</v>
      </c>
      <c r="K152" s="4">
        <v>4</v>
      </c>
      <c r="L152" s="4">
        <v>0</v>
      </c>
    </row>
    <row r="153" spans="1:12" ht="13" x14ac:dyDescent="0.15">
      <c r="A153" s="3" t="s">
        <v>183</v>
      </c>
      <c r="B153" s="3" t="s">
        <v>88</v>
      </c>
      <c r="C153" s="3" t="s">
        <v>89</v>
      </c>
      <c r="D153" s="4">
        <v>11</v>
      </c>
      <c r="E153" s="4" t="s">
        <v>256</v>
      </c>
      <c r="F153" s="3" t="s">
        <v>95</v>
      </c>
      <c r="G153" s="19">
        <v>1</v>
      </c>
      <c r="H153" s="3" t="s">
        <v>92</v>
      </c>
      <c r="I153" s="3" t="s">
        <v>93</v>
      </c>
      <c r="J153" s="4">
        <v>4</v>
      </c>
      <c r="K153" s="4">
        <v>4</v>
      </c>
      <c r="L153" s="4">
        <v>0</v>
      </c>
    </row>
    <row r="154" spans="1:12" ht="13" x14ac:dyDescent="0.15">
      <c r="A154" s="3" t="s">
        <v>189</v>
      </c>
      <c r="B154" s="3" t="s">
        <v>88</v>
      </c>
      <c r="C154" s="3" t="s">
        <v>97</v>
      </c>
      <c r="D154" s="4">
        <v>11</v>
      </c>
      <c r="E154" s="4" t="s">
        <v>256</v>
      </c>
      <c r="F154" s="3" t="s">
        <v>95</v>
      </c>
      <c r="G154" s="19">
        <v>1</v>
      </c>
      <c r="H154" s="3" t="s">
        <v>92</v>
      </c>
      <c r="I154" s="3" t="s">
        <v>93</v>
      </c>
      <c r="J154" s="4">
        <v>5</v>
      </c>
      <c r="K154" s="4">
        <v>4</v>
      </c>
      <c r="L154" s="4">
        <v>0</v>
      </c>
    </row>
    <row r="155" spans="1:12" ht="13" x14ac:dyDescent="0.15">
      <c r="A155" s="3" t="s">
        <v>196</v>
      </c>
      <c r="B155" s="3" t="s">
        <v>113</v>
      </c>
      <c r="C155" s="3" t="s">
        <v>108</v>
      </c>
      <c r="D155" s="4">
        <v>11</v>
      </c>
      <c r="E155" s="4" t="s">
        <v>256</v>
      </c>
      <c r="F155" s="3" t="s">
        <v>95</v>
      </c>
      <c r="G155" s="19">
        <v>1</v>
      </c>
      <c r="H155" s="3" t="s">
        <v>92</v>
      </c>
      <c r="I155" s="3" t="s">
        <v>99</v>
      </c>
      <c r="J155" s="4">
        <v>4</v>
      </c>
      <c r="K155" s="4">
        <v>4</v>
      </c>
      <c r="L155" s="3" t="s">
        <v>203</v>
      </c>
    </row>
    <row r="156" spans="1:12" ht="13" x14ac:dyDescent="0.15">
      <c r="A156" s="3" t="s">
        <v>87</v>
      </c>
      <c r="B156" s="3" t="s">
        <v>88</v>
      </c>
      <c r="C156" s="3" t="s">
        <v>89</v>
      </c>
      <c r="D156" s="4">
        <v>12</v>
      </c>
      <c r="E156" s="4" t="s">
        <v>256</v>
      </c>
      <c r="F156" s="3" t="s">
        <v>108</v>
      </c>
      <c r="G156" s="19">
        <v>1</v>
      </c>
      <c r="H156" s="3" t="s">
        <v>92</v>
      </c>
      <c r="I156" s="3" t="s">
        <v>101</v>
      </c>
      <c r="J156" s="4">
        <v>3</v>
      </c>
      <c r="K156" s="4">
        <v>3</v>
      </c>
      <c r="L156" s="4">
        <v>0</v>
      </c>
    </row>
    <row r="157" spans="1:12" ht="13" x14ac:dyDescent="0.15">
      <c r="A157" s="3" t="s">
        <v>112</v>
      </c>
      <c r="B157" s="3" t="s">
        <v>113</v>
      </c>
      <c r="C157" s="3" t="s">
        <v>95</v>
      </c>
      <c r="D157" s="4">
        <v>12</v>
      </c>
      <c r="E157" s="4" t="s">
        <v>256</v>
      </c>
      <c r="F157" s="3" t="s">
        <v>97</v>
      </c>
      <c r="G157" s="19">
        <v>1</v>
      </c>
      <c r="H157" s="3" t="s">
        <v>98</v>
      </c>
      <c r="I157" s="3" t="s">
        <v>99</v>
      </c>
      <c r="J157" s="4">
        <v>3</v>
      </c>
      <c r="K157" s="4">
        <v>3</v>
      </c>
      <c r="L157" s="4">
        <v>0</v>
      </c>
    </row>
    <row r="158" spans="1:12" ht="13" x14ac:dyDescent="0.15">
      <c r="A158" s="3" t="s">
        <v>115</v>
      </c>
      <c r="B158" s="3" t="s">
        <v>113</v>
      </c>
      <c r="C158" s="3" t="s">
        <v>95</v>
      </c>
      <c r="D158" s="4">
        <v>12</v>
      </c>
      <c r="E158" s="4" t="s">
        <v>256</v>
      </c>
      <c r="F158" s="3" t="s">
        <v>108</v>
      </c>
      <c r="G158" s="19">
        <v>1</v>
      </c>
      <c r="H158" s="3" t="s">
        <v>92</v>
      </c>
      <c r="I158" s="3" t="s">
        <v>93</v>
      </c>
      <c r="J158" s="4">
        <v>4</v>
      </c>
      <c r="K158" s="4">
        <v>5</v>
      </c>
      <c r="L158" s="4">
        <v>0</v>
      </c>
    </row>
    <row r="159" spans="1:12" ht="13" x14ac:dyDescent="0.15">
      <c r="A159" s="3" t="s">
        <v>121</v>
      </c>
      <c r="B159" s="3" t="s">
        <v>122</v>
      </c>
      <c r="C159" s="3" t="s">
        <v>97</v>
      </c>
      <c r="D159" s="4">
        <v>12</v>
      </c>
      <c r="E159" s="4" t="s">
        <v>256</v>
      </c>
      <c r="F159" s="3" t="s">
        <v>95</v>
      </c>
      <c r="G159" s="19">
        <v>1</v>
      </c>
      <c r="H159" s="3" t="s">
        <v>92</v>
      </c>
      <c r="I159" s="3" t="s">
        <v>93</v>
      </c>
      <c r="J159" s="4">
        <v>3</v>
      </c>
      <c r="K159" s="4">
        <v>3</v>
      </c>
      <c r="L159" s="4">
        <v>0</v>
      </c>
    </row>
    <row r="160" spans="1:12" ht="13" x14ac:dyDescent="0.15">
      <c r="A160" s="3" t="s">
        <v>130</v>
      </c>
      <c r="B160" s="3" t="s">
        <v>88</v>
      </c>
      <c r="C160" s="3" t="s">
        <v>97</v>
      </c>
      <c r="D160" s="4">
        <v>12</v>
      </c>
      <c r="E160" s="4" t="s">
        <v>256</v>
      </c>
      <c r="F160" s="3" t="s">
        <v>108</v>
      </c>
      <c r="G160" s="19">
        <v>1</v>
      </c>
      <c r="H160" s="3" t="s">
        <v>92</v>
      </c>
      <c r="I160" s="3" t="s">
        <v>93</v>
      </c>
      <c r="J160" s="4">
        <v>4</v>
      </c>
      <c r="K160" s="4">
        <v>4</v>
      </c>
      <c r="L160" s="3" t="s">
        <v>136</v>
      </c>
    </row>
    <row r="161" spans="1:12" ht="13" x14ac:dyDescent="0.15">
      <c r="A161" s="3" t="s">
        <v>137</v>
      </c>
      <c r="B161" s="3" t="s">
        <v>113</v>
      </c>
      <c r="C161" s="3" t="s">
        <v>108</v>
      </c>
      <c r="D161" s="4">
        <v>12</v>
      </c>
      <c r="E161" s="4" t="s">
        <v>256</v>
      </c>
      <c r="F161" s="3" t="s">
        <v>108</v>
      </c>
      <c r="G161" s="19">
        <v>1</v>
      </c>
      <c r="H161" s="3" t="s">
        <v>92</v>
      </c>
      <c r="I161" s="3" t="s">
        <v>99</v>
      </c>
      <c r="J161" s="4">
        <v>5</v>
      </c>
      <c r="K161" s="4">
        <v>5</v>
      </c>
      <c r="L161" s="4">
        <v>0</v>
      </c>
    </row>
    <row r="162" spans="1:12" ht="13" x14ac:dyDescent="0.15">
      <c r="A162" s="3" t="s">
        <v>145</v>
      </c>
      <c r="B162" s="3" t="s">
        <v>113</v>
      </c>
      <c r="C162" s="3" t="s">
        <v>146</v>
      </c>
      <c r="D162" s="4">
        <v>12</v>
      </c>
      <c r="E162" s="4" t="s">
        <v>256</v>
      </c>
      <c r="F162" s="3" t="s">
        <v>108</v>
      </c>
      <c r="G162" s="19">
        <v>1</v>
      </c>
      <c r="H162" s="3" t="s">
        <v>92</v>
      </c>
      <c r="I162" s="3" t="s">
        <v>93</v>
      </c>
      <c r="J162" s="4">
        <v>5</v>
      </c>
      <c r="K162" s="4">
        <v>4</v>
      </c>
      <c r="L162" s="3" t="s">
        <v>155</v>
      </c>
    </row>
    <row r="163" spans="1:12" ht="13" x14ac:dyDescent="0.15">
      <c r="A163" s="3" t="s">
        <v>156</v>
      </c>
      <c r="B163" s="3" t="s">
        <v>88</v>
      </c>
      <c r="C163" s="3" t="s">
        <v>97</v>
      </c>
      <c r="D163" s="4">
        <v>12</v>
      </c>
      <c r="E163" s="4" t="s">
        <v>256</v>
      </c>
      <c r="F163" s="3" t="s">
        <v>95</v>
      </c>
      <c r="G163" s="19">
        <v>1</v>
      </c>
      <c r="H163" s="3" t="s">
        <v>92</v>
      </c>
      <c r="I163" s="3" t="s">
        <v>99</v>
      </c>
      <c r="J163" s="4">
        <v>4</v>
      </c>
      <c r="K163" s="4">
        <v>4</v>
      </c>
      <c r="L163" s="3" t="s">
        <v>161</v>
      </c>
    </row>
    <row r="164" spans="1:12" ht="13" x14ac:dyDescent="0.15">
      <c r="A164" s="3" t="s">
        <v>164</v>
      </c>
      <c r="B164" s="3" t="s">
        <v>88</v>
      </c>
      <c r="C164" s="3" t="s">
        <v>97</v>
      </c>
      <c r="D164" s="4">
        <v>12</v>
      </c>
      <c r="E164" s="4" t="s">
        <v>256</v>
      </c>
      <c r="F164" s="3" t="s">
        <v>108</v>
      </c>
      <c r="G164" s="19">
        <v>1</v>
      </c>
      <c r="H164" s="3" t="s">
        <v>92</v>
      </c>
      <c r="I164" s="3" t="s">
        <v>99</v>
      </c>
      <c r="J164" s="4">
        <v>3</v>
      </c>
      <c r="K164" s="4">
        <v>5</v>
      </c>
      <c r="L164" s="3" t="s">
        <v>173</v>
      </c>
    </row>
    <row r="165" spans="1:12" ht="13" x14ac:dyDescent="0.15">
      <c r="A165" s="3" t="s">
        <v>174</v>
      </c>
      <c r="B165" s="3" t="s">
        <v>88</v>
      </c>
      <c r="C165" s="3" t="s">
        <v>89</v>
      </c>
      <c r="D165" s="4">
        <v>12</v>
      </c>
      <c r="E165" s="4" t="s">
        <v>256</v>
      </c>
      <c r="F165" s="3" t="s">
        <v>108</v>
      </c>
      <c r="G165" s="19">
        <v>1</v>
      </c>
      <c r="H165" s="3" t="s">
        <v>98</v>
      </c>
      <c r="I165" s="3" t="s">
        <v>101</v>
      </c>
      <c r="J165" s="4">
        <v>1</v>
      </c>
      <c r="K165" s="4">
        <v>1</v>
      </c>
      <c r="L165" s="3" t="s">
        <v>180</v>
      </c>
    </row>
    <row r="166" spans="1:12" ht="13" x14ac:dyDescent="0.15">
      <c r="A166" s="3" t="s">
        <v>181</v>
      </c>
      <c r="B166" s="3" t="s">
        <v>122</v>
      </c>
      <c r="C166" s="3" t="s">
        <v>108</v>
      </c>
      <c r="D166" s="4">
        <v>12</v>
      </c>
      <c r="E166" s="4" t="s">
        <v>256</v>
      </c>
      <c r="F166" s="3" t="s">
        <v>108</v>
      </c>
      <c r="G166" s="19">
        <v>1</v>
      </c>
      <c r="H166" s="3" t="s">
        <v>92</v>
      </c>
      <c r="I166" s="3" t="s">
        <v>99</v>
      </c>
      <c r="J166" s="4">
        <v>1</v>
      </c>
      <c r="K166" s="4">
        <v>1</v>
      </c>
      <c r="L166" s="4">
        <v>0</v>
      </c>
    </row>
    <row r="167" spans="1:12" ht="13" x14ac:dyDescent="0.15">
      <c r="A167" s="3" t="s">
        <v>183</v>
      </c>
      <c r="B167" s="3" t="s">
        <v>88</v>
      </c>
      <c r="C167" s="3" t="s">
        <v>89</v>
      </c>
      <c r="D167" s="4">
        <v>12</v>
      </c>
      <c r="E167" s="4" t="s">
        <v>256</v>
      </c>
      <c r="F167" s="3" t="s">
        <v>95</v>
      </c>
      <c r="G167" s="19">
        <v>1</v>
      </c>
      <c r="H167" s="3" t="s">
        <v>92</v>
      </c>
      <c r="I167" s="3" t="s">
        <v>93</v>
      </c>
      <c r="J167" s="4">
        <v>3</v>
      </c>
      <c r="K167" s="4">
        <v>3</v>
      </c>
      <c r="L167" s="4">
        <v>0</v>
      </c>
    </row>
    <row r="168" spans="1:12" ht="13" x14ac:dyDescent="0.15">
      <c r="A168" s="3" t="s">
        <v>189</v>
      </c>
      <c r="B168" s="3" t="s">
        <v>88</v>
      </c>
      <c r="C168" s="3" t="s">
        <v>97</v>
      </c>
      <c r="D168" s="4">
        <v>12</v>
      </c>
      <c r="E168" s="4" t="s">
        <v>256</v>
      </c>
      <c r="F168" s="3" t="s">
        <v>95</v>
      </c>
      <c r="G168" s="19">
        <v>1</v>
      </c>
      <c r="H168" s="3" t="s">
        <v>92</v>
      </c>
      <c r="I168" s="3" t="s">
        <v>99</v>
      </c>
      <c r="J168" s="4">
        <v>4</v>
      </c>
      <c r="K168" s="4">
        <v>4</v>
      </c>
      <c r="L168" s="3" t="s">
        <v>195</v>
      </c>
    </row>
    <row r="169" spans="1:12" ht="13" x14ac:dyDescent="0.15">
      <c r="A169" s="3" t="s">
        <v>196</v>
      </c>
      <c r="B169" s="3" t="s">
        <v>113</v>
      </c>
      <c r="C169" s="3" t="s">
        <v>108</v>
      </c>
      <c r="D169" s="4">
        <v>12</v>
      </c>
      <c r="E169" s="4" t="s">
        <v>256</v>
      </c>
      <c r="F169" s="3" t="s">
        <v>108</v>
      </c>
      <c r="G169" s="19">
        <v>1</v>
      </c>
      <c r="H169" s="3" t="s">
        <v>92</v>
      </c>
      <c r="I169" s="3" t="s">
        <v>99</v>
      </c>
      <c r="J169" s="4">
        <v>4</v>
      </c>
      <c r="K169" s="4">
        <v>3</v>
      </c>
      <c r="L169" s="3" t="s">
        <v>204</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2BB50-B237-7D45-96CA-FE9F1F97C278}">
  <dimension ref="A1:I13"/>
  <sheetViews>
    <sheetView tabSelected="1" zoomScale="173" workbookViewId="0">
      <selection activeCell="F2" sqref="F2"/>
    </sheetView>
  </sheetViews>
  <sheetFormatPr baseColWidth="10" defaultRowHeight="13" x14ac:dyDescent="0.15"/>
  <cols>
    <col min="3" max="3" width="12.83203125" bestFit="1" customWidth="1"/>
  </cols>
  <sheetData>
    <row r="1" spans="1:9" ht="15" x14ac:dyDescent="0.2">
      <c r="A1" s="16" t="s">
        <v>231</v>
      </c>
      <c r="B1" s="16" t="s">
        <v>234</v>
      </c>
      <c r="C1" s="16" t="s">
        <v>235</v>
      </c>
      <c r="D1" s="16" t="s">
        <v>254</v>
      </c>
      <c r="E1" s="16" t="s">
        <v>253</v>
      </c>
      <c r="F1" s="16" t="s">
        <v>257</v>
      </c>
    </row>
    <row r="2" spans="1:9" ht="15" x14ac:dyDescent="0.2">
      <c r="A2" s="16" t="s">
        <v>236</v>
      </c>
      <c r="B2" s="16" t="s">
        <v>237</v>
      </c>
      <c r="C2" s="16" t="s">
        <v>238</v>
      </c>
      <c r="D2" s="18">
        <v>11</v>
      </c>
      <c r="E2" s="18">
        <f>14-D2</f>
        <v>3</v>
      </c>
      <c r="F2" s="17">
        <v>0.79</v>
      </c>
    </row>
    <row r="3" spans="1:9" ht="15" x14ac:dyDescent="0.2">
      <c r="A3" s="16" t="s">
        <v>239</v>
      </c>
      <c r="B3" s="16" t="s">
        <v>237</v>
      </c>
      <c r="C3" s="16" t="s">
        <v>238</v>
      </c>
      <c r="D3" s="18">
        <f t="shared" ref="D3:D4" si="0">ROUNDUP(14*F3,0)</f>
        <v>7</v>
      </c>
      <c r="E3" s="18">
        <f t="shared" ref="E3:E13" si="1">14-D3</f>
        <v>7</v>
      </c>
      <c r="F3" s="17">
        <v>0.5</v>
      </c>
    </row>
    <row r="4" spans="1:9" ht="15" x14ac:dyDescent="0.2">
      <c r="A4" s="16" t="s">
        <v>240</v>
      </c>
      <c r="B4" s="16" t="s">
        <v>237</v>
      </c>
      <c r="C4" s="16" t="s">
        <v>241</v>
      </c>
      <c r="D4" s="18">
        <f t="shared" si="0"/>
        <v>3</v>
      </c>
      <c r="E4" s="18">
        <f t="shared" si="1"/>
        <v>11</v>
      </c>
      <c r="F4" s="17">
        <v>0.21</v>
      </c>
    </row>
    <row r="5" spans="1:9" ht="15" x14ac:dyDescent="0.2">
      <c r="A5" s="16" t="s">
        <v>242</v>
      </c>
      <c r="B5" s="16" t="s">
        <v>237</v>
      </c>
      <c r="C5" s="16" t="s">
        <v>241</v>
      </c>
      <c r="D5" s="18">
        <v>11</v>
      </c>
      <c r="E5" s="18">
        <f t="shared" si="1"/>
        <v>3</v>
      </c>
      <c r="F5" s="17">
        <v>0.79</v>
      </c>
    </row>
    <row r="6" spans="1:9" ht="15" x14ac:dyDescent="0.2">
      <c r="A6" s="16" t="s">
        <v>243</v>
      </c>
      <c r="B6" s="16" t="s">
        <v>244</v>
      </c>
      <c r="C6" s="16" t="s">
        <v>238</v>
      </c>
      <c r="D6" s="18">
        <v>12</v>
      </c>
      <c r="E6" s="18">
        <f t="shared" si="1"/>
        <v>2</v>
      </c>
      <c r="F6" s="17">
        <v>0.86</v>
      </c>
    </row>
    <row r="7" spans="1:9" ht="15" x14ac:dyDescent="0.2">
      <c r="A7" s="16" t="s">
        <v>245</v>
      </c>
      <c r="B7" s="16" t="s">
        <v>244</v>
      </c>
      <c r="C7" s="16" t="s">
        <v>238</v>
      </c>
      <c r="D7" s="18">
        <v>9</v>
      </c>
      <c r="E7" s="18">
        <f t="shared" si="1"/>
        <v>5</v>
      </c>
      <c r="F7" s="17">
        <v>0.64</v>
      </c>
    </row>
    <row r="8" spans="1:9" ht="15" x14ac:dyDescent="0.2">
      <c r="A8" s="16" t="s">
        <v>246</v>
      </c>
      <c r="B8" s="16" t="s">
        <v>244</v>
      </c>
      <c r="C8" s="16" t="s">
        <v>241</v>
      </c>
      <c r="D8" s="18">
        <v>10</v>
      </c>
      <c r="E8" s="18">
        <f t="shared" si="1"/>
        <v>4</v>
      </c>
      <c r="F8" s="17">
        <v>0.71</v>
      </c>
    </row>
    <row r="9" spans="1:9" ht="15" x14ac:dyDescent="0.2">
      <c r="A9" s="16" t="s">
        <v>247</v>
      </c>
      <c r="B9" s="16" t="s">
        <v>244</v>
      </c>
      <c r="C9" s="16" t="s">
        <v>241</v>
      </c>
      <c r="D9" s="18">
        <v>10</v>
      </c>
      <c r="E9" s="18">
        <f t="shared" si="1"/>
        <v>4</v>
      </c>
      <c r="F9" s="17">
        <v>0.71</v>
      </c>
    </row>
    <row r="10" spans="1:9" ht="15" x14ac:dyDescent="0.2">
      <c r="A10" s="16" t="s">
        <v>248</v>
      </c>
      <c r="B10" s="16" t="s">
        <v>249</v>
      </c>
      <c r="C10" s="16" t="s">
        <v>238</v>
      </c>
      <c r="D10" s="18">
        <v>14</v>
      </c>
      <c r="E10" s="18">
        <f t="shared" si="1"/>
        <v>0</v>
      </c>
      <c r="F10" s="17">
        <v>1</v>
      </c>
      <c r="I10" s="16"/>
    </row>
    <row r="11" spans="1:9" ht="15" x14ac:dyDescent="0.2">
      <c r="A11" s="16" t="s">
        <v>250</v>
      </c>
      <c r="B11" s="16" t="s">
        <v>249</v>
      </c>
      <c r="C11" s="16" t="s">
        <v>241</v>
      </c>
      <c r="D11" s="18">
        <v>9</v>
      </c>
      <c r="E11" s="18">
        <f t="shared" si="1"/>
        <v>5</v>
      </c>
      <c r="F11" s="17">
        <v>0.64</v>
      </c>
    </row>
    <row r="12" spans="1:9" ht="15" x14ac:dyDescent="0.2">
      <c r="A12" s="16" t="s">
        <v>251</v>
      </c>
      <c r="B12" s="16" t="s">
        <v>249</v>
      </c>
      <c r="C12" s="16" t="s">
        <v>241</v>
      </c>
      <c r="D12" s="18">
        <v>1</v>
      </c>
      <c r="E12" s="18">
        <f t="shared" si="1"/>
        <v>13</v>
      </c>
      <c r="F12" s="17">
        <v>7.0000000000000007E-2</v>
      </c>
      <c r="I12" s="16"/>
    </row>
    <row r="13" spans="1:9" ht="15" x14ac:dyDescent="0.2">
      <c r="A13" s="16" t="s">
        <v>252</v>
      </c>
      <c r="B13" s="16" t="s">
        <v>249</v>
      </c>
      <c r="C13" s="16" t="s">
        <v>241</v>
      </c>
      <c r="D13" s="18">
        <v>9</v>
      </c>
      <c r="E13" s="18">
        <f t="shared" si="1"/>
        <v>5</v>
      </c>
      <c r="F13" s="17">
        <v>0.64</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49"/>
  <sheetViews>
    <sheetView zoomScale="211" workbookViewId="0">
      <pane ySplit="1" topLeftCell="A2" activePane="bottomLeft" state="frozen"/>
      <selection pane="bottomLeft" activeCell="E12" sqref="E12"/>
    </sheetView>
  </sheetViews>
  <sheetFormatPr baseColWidth="10" defaultColWidth="12.6640625" defaultRowHeight="15.75" customHeight="1" x14ac:dyDescent="0.15"/>
  <cols>
    <col min="1" max="1" width="21.1640625" style="12" customWidth="1"/>
    <col min="2" max="2" width="11.5" customWidth="1"/>
  </cols>
  <sheetData>
    <row r="1" spans="1:3" ht="22.5" customHeight="1" x14ac:dyDescent="0.15">
      <c r="A1" s="1" t="s">
        <v>0</v>
      </c>
      <c r="B1" s="8" t="s">
        <v>230</v>
      </c>
      <c r="C1" s="9" t="s">
        <v>231</v>
      </c>
    </row>
    <row r="2" spans="1:3" ht="22.5" customHeight="1" x14ac:dyDescent="0.15">
      <c r="A2" s="1" t="s">
        <v>87</v>
      </c>
      <c r="B2" s="8">
        <v>0</v>
      </c>
      <c r="C2" s="9" t="s">
        <v>232</v>
      </c>
    </row>
    <row r="3" spans="1:3" ht="22.5" customHeight="1" x14ac:dyDescent="0.15">
      <c r="A3" s="1" t="s">
        <v>112</v>
      </c>
      <c r="B3" s="8">
        <v>1</v>
      </c>
      <c r="C3" s="9" t="s">
        <v>232</v>
      </c>
    </row>
    <row r="4" spans="1:3" ht="15.75" customHeight="1" x14ac:dyDescent="0.15">
      <c r="A4" s="1" t="s">
        <v>115</v>
      </c>
      <c r="B4" s="8">
        <v>0</v>
      </c>
      <c r="C4" s="9" t="s">
        <v>232</v>
      </c>
    </row>
    <row r="5" spans="1:3" ht="15.75" customHeight="1" x14ac:dyDescent="0.15">
      <c r="A5" s="1" t="s">
        <v>121</v>
      </c>
      <c r="B5" s="8">
        <v>1</v>
      </c>
      <c r="C5" s="9" t="s">
        <v>232</v>
      </c>
    </row>
    <row r="6" spans="1:3" ht="13" x14ac:dyDescent="0.15">
      <c r="A6" s="1" t="s">
        <v>130</v>
      </c>
      <c r="B6" s="8">
        <v>1</v>
      </c>
      <c r="C6" s="9" t="s">
        <v>232</v>
      </c>
    </row>
    <row r="7" spans="1:3" ht="13" x14ac:dyDescent="0.15">
      <c r="A7" s="1" t="s">
        <v>137</v>
      </c>
      <c r="B7" s="8">
        <v>1</v>
      </c>
      <c r="C7" s="9" t="s">
        <v>232</v>
      </c>
    </row>
    <row r="8" spans="1:3" ht="13" x14ac:dyDescent="0.15">
      <c r="A8" s="1" t="s">
        <v>145</v>
      </c>
      <c r="B8" s="8">
        <v>1</v>
      </c>
      <c r="C8" s="9" t="s">
        <v>232</v>
      </c>
    </row>
    <row r="9" spans="1:3" ht="13" x14ac:dyDescent="0.15">
      <c r="A9" s="1" t="s">
        <v>156</v>
      </c>
      <c r="B9" s="8">
        <v>1</v>
      </c>
      <c r="C9" s="9" t="s">
        <v>232</v>
      </c>
    </row>
    <row r="10" spans="1:3" ht="13" x14ac:dyDescent="0.15">
      <c r="A10" s="1" t="s">
        <v>164</v>
      </c>
      <c r="B10" s="8">
        <v>0</v>
      </c>
      <c r="C10" s="9" t="s">
        <v>232</v>
      </c>
    </row>
    <row r="11" spans="1:3" ht="13" x14ac:dyDescent="0.15">
      <c r="A11" s="1" t="s">
        <v>174</v>
      </c>
      <c r="B11" s="8">
        <v>1</v>
      </c>
      <c r="C11" s="9" t="s">
        <v>232</v>
      </c>
    </row>
    <row r="12" spans="1:3" ht="13" x14ac:dyDescent="0.15">
      <c r="A12" s="1" t="s">
        <v>181</v>
      </c>
      <c r="B12" s="8">
        <v>0</v>
      </c>
      <c r="C12" s="9" t="s">
        <v>232</v>
      </c>
    </row>
    <row r="13" spans="1:3" ht="13" x14ac:dyDescent="0.15">
      <c r="A13" s="1" t="s">
        <v>183</v>
      </c>
      <c r="B13" s="8">
        <v>1</v>
      </c>
      <c r="C13" s="9" t="s">
        <v>232</v>
      </c>
    </row>
    <row r="14" spans="1:3" ht="13" x14ac:dyDescent="0.15">
      <c r="A14" s="1" t="s">
        <v>189</v>
      </c>
      <c r="B14" s="8">
        <v>0</v>
      </c>
      <c r="C14" s="9" t="s">
        <v>232</v>
      </c>
    </row>
    <row r="15" spans="1:3" ht="13" x14ac:dyDescent="0.15">
      <c r="A15" s="1" t="s">
        <v>196</v>
      </c>
      <c r="B15" s="8">
        <v>1</v>
      </c>
      <c r="C15" s="9" t="s">
        <v>232</v>
      </c>
    </row>
    <row r="16" spans="1:3" ht="13" x14ac:dyDescent="0.15">
      <c r="A16" s="1" t="s">
        <v>87</v>
      </c>
      <c r="B16" s="8">
        <v>1</v>
      </c>
      <c r="C16" s="9" t="s">
        <v>233</v>
      </c>
    </row>
    <row r="17" spans="1:3" ht="13" x14ac:dyDescent="0.15">
      <c r="A17" s="1" t="s">
        <v>112</v>
      </c>
      <c r="B17" s="8">
        <v>1</v>
      </c>
      <c r="C17" s="9" t="s">
        <v>233</v>
      </c>
    </row>
    <row r="18" spans="1:3" ht="13" x14ac:dyDescent="0.15">
      <c r="A18" s="1" t="s">
        <v>115</v>
      </c>
      <c r="B18" s="8">
        <v>1</v>
      </c>
      <c r="C18" s="9" t="s">
        <v>233</v>
      </c>
    </row>
    <row r="19" spans="1:3" ht="13" x14ac:dyDescent="0.15">
      <c r="A19" s="1" t="s">
        <v>121</v>
      </c>
      <c r="B19" s="8">
        <v>1</v>
      </c>
      <c r="C19" s="9" t="s">
        <v>233</v>
      </c>
    </row>
    <row r="20" spans="1:3" ht="13" x14ac:dyDescent="0.15">
      <c r="A20" s="1" t="s">
        <v>130</v>
      </c>
      <c r="B20" s="8">
        <v>1</v>
      </c>
      <c r="C20" s="9" t="s">
        <v>233</v>
      </c>
    </row>
    <row r="21" spans="1:3" ht="13" x14ac:dyDescent="0.15">
      <c r="A21" s="1" t="s">
        <v>137</v>
      </c>
      <c r="B21" s="8">
        <v>0</v>
      </c>
      <c r="C21" s="9" t="s">
        <v>233</v>
      </c>
    </row>
    <row r="22" spans="1:3" ht="13" x14ac:dyDescent="0.15">
      <c r="A22" s="1" t="s">
        <v>145</v>
      </c>
      <c r="B22" s="8">
        <v>0</v>
      </c>
      <c r="C22" s="9" t="s">
        <v>233</v>
      </c>
    </row>
    <row r="23" spans="1:3" ht="13" x14ac:dyDescent="0.15">
      <c r="A23" s="1" t="s">
        <v>156</v>
      </c>
      <c r="B23" s="8">
        <v>0</v>
      </c>
      <c r="C23" s="9" t="s">
        <v>233</v>
      </c>
    </row>
    <row r="24" spans="1:3" ht="13" x14ac:dyDescent="0.15">
      <c r="A24" s="1" t="s">
        <v>164</v>
      </c>
      <c r="B24" s="8">
        <v>0</v>
      </c>
      <c r="C24" s="9" t="s">
        <v>233</v>
      </c>
    </row>
    <row r="25" spans="1:3" ht="13" x14ac:dyDescent="0.15">
      <c r="A25" s="1" t="s">
        <v>174</v>
      </c>
      <c r="B25" s="8">
        <v>0</v>
      </c>
      <c r="C25" s="9" t="s">
        <v>233</v>
      </c>
    </row>
    <row r="26" spans="1:3" ht="13" x14ac:dyDescent="0.15">
      <c r="A26" s="1" t="s">
        <v>181</v>
      </c>
      <c r="B26" s="8">
        <v>1</v>
      </c>
      <c r="C26" s="9" t="s">
        <v>233</v>
      </c>
    </row>
    <row r="27" spans="1:3" ht="13" x14ac:dyDescent="0.15">
      <c r="A27" s="1" t="s">
        <v>183</v>
      </c>
      <c r="B27" s="8">
        <v>0</v>
      </c>
      <c r="C27" s="9" t="s">
        <v>233</v>
      </c>
    </row>
    <row r="28" spans="1:3" ht="13" x14ac:dyDescent="0.15">
      <c r="A28" s="1" t="s">
        <v>189</v>
      </c>
      <c r="B28" s="8">
        <v>1</v>
      </c>
      <c r="C28" s="9" t="s">
        <v>233</v>
      </c>
    </row>
    <row r="29" spans="1:3" ht="13" x14ac:dyDescent="0.15">
      <c r="A29" s="1" t="s">
        <v>196</v>
      </c>
      <c r="B29" s="8">
        <v>0</v>
      </c>
      <c r="C29" s="9" t="s">
        <v>233</v>
      </c>
    </row>
    <row r="30" spans="1:3" ht="13" x14ac:dyDescent="0.15">
      <c r="A30" s="10"/>
    </row>
    <row r="31" spans="1:3" ht="13" x14ac:dyDescent="0.15">
      <c r="A31" s="10"/>
    </row>
    <row r="32" spans="1:3" ht="13" x14ac:dyDescent="0.15">
      <c r="A32" s="10"/>
    </row>
    <row r="33" spans="1:4" ht="13" x14ac:dyDescent="0.15">
      <c r="A33" s="11"/>
      <c r="B33" s="6"/>
      <c r="C33" s="6"/>
    </row>
    <row r="34" spans="1:4" ht="13" x14ac:dyDescent="0.15">
      <c r="A34" s="10"/>
      <c r="B34" s="5"/>
      <c r="C34" s="5"/>
    </row>
    <row r="35" spans="1:4" ht="13" x14ac:dyDescent="0.15">
      <c r="A35" s="10"/>
    </row>
    <row r="36" spans="1:4" ht="13" x14ac:dyDescent="0.15">
      <c r="A36" s="10"/>
    </row>
    <row r="37" spans="1:4" ht="13" x14ac:dyDescent="0.15">
      <c r="A37" s="10"/>
    </row>
    <row r="38" spans="1:4" ht="13" x14ac:dyDescent="0.15">
      <c r="A38" s="10"/>
    </row>
    <row r="39" spans="1:4" ht="13" x14ac:dyDescent="0.15">
      <c r="A39" s="10"/>
    </row>
    <row r="40" spans="1:4" ht="13" x14ac:dyDescent="0.15">
      <c r="A40" s="10"/>
    </row>
    <row r="41" spans="1:4" ht="13" x14ac:dyDescent="0.15">
      <c r="A41" s="10"/>
    </row>
    <row r="42" spans="1:4" ht="13" x14ac:dyDescent="0.15">
      <c r="A42" s="10"/>
    </row>
    <row r="43" spans="1:4" ht="13" x14ac:dyDescent="0.15">
      <c r="A43" s="10"/>
    </row>
    <row r="44" spans="1:4" ht="13" x14ac:dyDescent="0.15">
      <c r="A44" s="11"/>
      <c r="B44" s="6"/>
      <c r="C44" s="6"/>
      <c r="D44" s="6"/>
    </row>
    <row r="45" spans="1:4" ht="13" x14ac:dyDescent="0.15">
      <c r="A45" s="10"/>
      <c r="B45" s="5"/>
      <c r="C45" s="5"/>
      <c r="D45" s="5"/>
    </row>
    <row r="46" spans="1:4" ht="13" x14ac:dyDescent="0.15">
      <c r="A46" s="11"/>
      <c r="B46" s="6"/>
    </row>
    <row r="47" spans="1:4" ht="13" x14ac:dyDescent="0.15">
      <c r="A47" s="10"/>
      <c r="B47" s="5"/>
    </row>
    <row r="48" spans="1:4" ht="13" x14ac:dyDescent="0.15">
      <c r="A48" s="10"/>
      <c r="B48" s="7"/>
    </row>
    <row r="49" spans="1:2" ht="13" x14ac:dyDescent="0.15">
      <c r="A49" s="10"/>
      <c r="B49" s="5"/>
    </row>
  </sheetData>
  <customSheetViews>
    <customSheetView guid="{285BB586-CC68-4C1C-BF56-4D1DD292C22B}" filter="1" showAutoFilter="1">
      <pageMargins left="0.7" right="0.7" top="0.75" bottom="0.75" header="0.3" footer="0.3"/>
      <autoFilter ref="A1:C3" xr:uid="{437AA90D-841C-534F-A69F-4BDD726F1115}"/>
    </customSheetView>
  </customSheetView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Cleaned</vt:lpstr>
      <vt:lpstr>Grade identification</vt:lpstr>
      <vt:lpstr>AI identification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Jiangrong Zou</cp:lastModifiedBy>
  <dcterms:created xsi:type="dcterms:W3CDTF">2026-01-30T14:25:26Z</dcterms:created>
  <dcterms:modified xsi:type="dcterms:W3CDTF">2026-01-30T14:25:36Z</dcterms:modified>
</cp:coreProperties>
</file>